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LOBBY 2\Downloads\"/>
    </mc:Choice>
  </mc:AlternateContent>
  <xr:revisionPtr revIDLastSave="0" documentId="8_{224FF824-A910-4BCA-BC72-08B290C1D979}" xr6:coauthVersionLast="47" xr6:coauthVersionMax="47" xr10:uidLastSave="{00000000-0000-0000-0000-000000000000}"/>
  <bookViews>
    <workbookView xWindow="315" yWindow="930" windowWidth="16530" windowHeight="13740" tabRatio="813" firstSheet="8" activeTab="11" xr2:uid="{00000000-000D-0000-FFFF-FFFF00000000}"/>
  </bookViews>
  <sheets>
    <sheet name="H.EV" sheetId="17" r:id="rId1"/>
    <sheet name="CART.SERVICIOS" sheetId="19" r:id="rId2"/>
    <sheet name="Hoja1" sheetId="1" r:id="rId3"/>
    <sheet name="Hoja3" sheetId="16" r:id="rId4"/>
    <sheet name="POBLACION DE REFERENCIA" sheetId="2" r:id="rId5"/>
    <sheet name="POBLACION DEMANDANTE POTENCIAL" sheetId="3" r:id="rId6"/>
    <sheet name="POBLACION DEMANDANTE EFECTIVA" sheetId="4" r:id="rId7"/>
    <sheet name="DEMANDA SERV. DE SALUD SN PY" sheetId="18" r:id="rId8"/>
    <sheet name="DEMANDA SERV. DE SALUD CN PY" sheetId="5" r:id="rId9"/>
    <sheet name="OFERTA ACTUAL " sheetId="7" r:id="rId10"/>
    <sheet name="BALANCE OFERTA Y DEMANDA" sheetId="8" r:id="rId11"/>
    <sheet name="COSTOS A PRECIOS MERCADO" sheetId="9" r:id="rId12"/>
    <sheet name="COSTOS A PRECIOS SOCIALES" sheetId="10" r:id="rId13"/>
    <sheet name="OyM CON PY Y SIN PY" sheetId="11" r:id="rId14"/>
    <sheet name="FLUJO OYM" sheetId="13" r:id="rId15"/>
    <sheet name="FLUJO.SOCIAL ALT01" sheetId="12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9" l="1"/>
  <c r="N31" i="9"/>
  <c r="N10" i="9" s="1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17" i="7"/>
  <c r="C86" i="8"/>
  <c r="D86" i="8"/>
  <c r="E86" i="8"/>
  <c r="F86" i="8"/>
  <c r="G86" i="8"/>
  <c r="H86" i="8"/>
  <c r="I86" i="8"/>
  <c r="J86" i="8"/>
  <c r="J88" i="8" s="1"/>
  <c r="K86" i="8"/>
  <c r="B86" i="8"/>
  <c r="A85" i="8"/>
  <c r="I87" i="8"/>
  <c r="I88" i="8" s="1"/>
  <c r="H87" i="8"/>
  <c r="H88" i="8" s="1"/>
  <c r="G87" i="8"/>
  <c r="G88" i="8" s="1"/>
  <c r="F87" i="8"/>
  <c r="E87" i="8"/>
  <c r="E88" i="8" s="1"/>
  <c r="D87" i="8"/>
  <c r="D88" i="8" s="1"/>
  <c r="C87" i="8"/>
  <c r="C88" i="8" s="1"/>
  <c r="B87" i="8"/>
  <c r="K88" i="8"/>
  <c r="C82" i="8"/>
  <c r="D82" i="8"/>
  <c r="E82" i="8"/>
  <c r="F82" i="8"/>
  <c r="G82" i="8"/>
  <c r="H82" i="8"/>
  <c r="I82" i="8"/>
  <c r="J82" i="8"/>
  <c r="J84" i="8" s="1"/>
  <c r="K82" i="8"/>
  <c r="B82" i="8"/>
  <c r="A81" i="8"/>
  <c r="C78" i="8"/>
  <c r="D78" i="8"/>
  <c r="E78" i="8"/>
  <c r="F78" i="8"/>
  <c r="G78" i="8"/>
  <c r="H78" i="8"/>
  <c r="I78" i="8"/>
  <c r="J78" i="8"/>
  <c r="J80" i="8" s="1"/>
  <c r="K78" i="8"/>
  <c r="B78" i="8"/>
  <c r="A77" i="8"/>
  <c r="C74" i="8"/>
  <c r="D74" i="8"/>
  <c r="E74" i="8"/>
  <c r="F74" i="8"/>
  <c r="G74" i="8"/>
  <c r="H74" i="8"/>
  <c r="I74" i="8"/>
  <c r="J74" i="8"/>
  <c r="J76" i="8" s="1"/>
  <c r="K74" i="8"/>
  <c r="K76" i="8" s="1"/>
  <c r="B74" i="8"/>
  <c r="A73" i="8"/>
  <c r="C70" i="8"/>
  <c r="D70" i="8"/>
  <c r="E70" i="8"/>
  <c r="F70" i="8"/>
  <c r="G70" i="8"/>
  <c r="H70" i="8"/>
  <c r="I70" i="8"/>
  <c r="J70" i="8"/>
  <c r="J72" i="8" s="1"/>
  <c r="K70" i="8"/>
  <c r="B70" i="8"/>
  <c r="A69" i="8"/>
  <c r="C66" i="8"/>
  <c r="D66" i="8"/>
  <c r="E66" i="8"/>
  <c r="F66" i="8"/>
  <c r="G66" i="8"/>
  <c r="H66" i="8"/>
  <c r="I66" i="8"/>
  <c r="J66" i="8"/>
  <c r="J68" i="8" s="1"/>
  <c r="K66" i="8"/>
  <c r="B66" i="8"/>
  <c r="A65" i="8"/>
  <c r="C62" i="8"/>
  <c r="D62" i="8"/>
  <c r="E62" i="8"/>
  <c r="F62" i="8"/>
  <c r="G62" i="8"/>
  <c r="H62" i="8"/>
  <c r="I62" i="8"/>
  <c r="J62" i="8"/>
  <c r="J64" i="8" s="1"/>
  <c r="K62" i="8"/>
  <c r="B62" i="8"/>
  <c r="I67" i="8"/>
  <c r="H67" i="8"/>
  <c r="H68" i="8" s="1"/>
  <c r="G67" i="8"/>
  <c r="G68" i="8" s="1"/>
  <c r="F67" i="8"/>
  <c r="E67" i="8"/>
  <c r="D67" i="8"/>
  <c r="D68" i="8" s="1"/>
  <c r="C67" i="8"/>
  <c r="C68" i="8" s="1"/>
  <c r="B67" i="8"/>
  <c r="K68" i="8"/>
  <c r="I71" i="8"/>
  <c r="H71" i="8"/>
  <c r="G71" i="8"/>
  <c r="G72" i="8" s="1"/>
  <c r="F71" i="8"/>
  <c r="E71" i="8"/>
  <c r="D71" i="8"/>
  <c r="C71" i="8"/>
  <c r="C72" i="8" s="1"/>
  <c r="B71" i="8"/>
  <c r="K72" i="8"/>
  <c r="I75" i="8"/>
  <c r="I76" i="8" s="1"/>
  <c r="H75" i="8"/>
  <c r="G75" i="8"/>
  <c r="F75" i="8"/>
  <c r="E75" i="8"/>
  <c r="E76" i="8" s="1"/>
  <c r="D75" i="8"/>
  <c r="C75" i="8"/>
  <c r="B75" i="8"/>
  <c r="I79" i="8"/>
  <c r="H79" i="8"/>
  <c r="G79" i="8"/>
  <c r="G80" i="8" s="1"/>
  <c r="F79" i="8"/>
  <c r="E79" i="8"/>
  <c r="D79" i="8"/>
  <c r="C79" i="8"/>
  <c r="C80" i="8" s="1"/>
  <c r="B79" i="8"/>
  <c r="K80" i="8"/>
  <c r="I83" i="8"/>
  <c r="H83" i="8"/>
  <c r="G83" i="8"/>
  <c r="F83" i="8"/>
  <c r="E83" i="8"/>
  <c r="D83" i="8"/>
  <c r="C83" i="8"/>
  <c r="B83" i="8"/>
  <c r="K84" i="8"/>
  <c r="I63" i="8"/>
  <c r="H63" i="8"/>
  <c r="G63" i="8"/>
  <c r="F63" i="8"/>
  <c r="E63" i="8"/>
  <c r="D63" i="8"/>
  <c r="C63" i="8"/>
  <c r="B63" i="8"/>
  <c r="K64" i="8"/>
  <c r="K54" i="8"/>
  <c r="K56" i="8" s="1"/>
  <c r="C54" i="8"/>
  <c r="D54" i="8"/>
  <c r="E54" i="8"/>
  <c r="F54" i="8"/>
  <c r="G54" i="8"/>
  <c r="H54" i="8"/>
  <c r="I54" i="8"/>
  <c r="J54" i="8"/>
  <c r="J56" i="8" s="1"/>
  <c r="B54" i="8"/>
  <c r="I55" i="8"/>
  <c r="H55" i="8"/>
  <c r="G55" i="8"/>
  <c r="F55" i="8"/>
  <c r="E55" i="8"/>
  <c r="D55" i="8"/>
  <c r="D56" i="8" s="1"/>
  <c r="C55" i="8"/>
  <c r="B55" i="8"/>
  <c r="B56" i="8" s="1"/>
  <c r="C42" i="8"/>
  <c r="D42" i="8"/>
  <c r="E42" i="8"/>
  <c r="F42" i="8"/>
  <c r="G42" i="8"/>
  <c r="H42" i="8"/>
  <c r="I42" i="8"/>
  <c r="J42" i="8"/>
  <c r="K42" i="8"/>
  <c r="B42" i="8"/>
  <c r="C38" i="8"/>
  <c r="D38" i="8"/>
  <c r="E38" i="8"/>
  <c r="F38" i="8"/>
  <c r="G38" i="8"/>
  <c r="H38" i="8"/>
  <c r="I38" i="8"/>
  <c r="J38" i="8"/>
  <c r="K38" i="8"/>
  <c r="B38" i="8"/>
  <c r="C10" i="8"/>
  <c r="D10" i="8"/>
  <c r="E10" i="8"/>
  <c r="F10" i="8"/>
  <c r="G10" i="8"/>
  <c r="H10" i="8"/>
  <c r="I10" i="8"/>
  <c r="J10" i="8"/>
  <c r="K10" i="8"/>
  <c r="B10" i="8"/>
  <c r="A9" i="8"/>
  <c r="C6" i="8"/>
  <c r="D6" i="8"/>
  <c r="E6" i="8"/>
  <c r="F6" i="8"/>
  <c r="G6" i="8"/>
  <c r="H6" i="8"/>
  <c r="I6" i="8"/>
  <c r="J6" i="8"/>
  <c r="K6" i="8"/>
  <c r="B6" i="8"/>
  <c r="A5" i="8"/>
  <c r="K7" i="8"/>
  <c r="J7" i="8"/>
  <c r="I7" i="8"/>
  <c r="H7" i="8"/>
  <c r="H8" i="8" s="1"/>
  <c r="G7" i="8"/>
  <c r="F7" i="8"/>
  <c r="E7" i="8"/>
  <c r="D7" i="8"/>
  <c r="D8" i="8" s="1"/>
  <c r="C7" i="8"/>
  <c r="B7" i="8"/>
  <c r="B8" i="8" s="1"/>
  <c r="K11" i="8"/>
  <c r="J11" i="8"/>
  <c r="I11" i="8"/>
  <c r="H11" i="8"/>
  <c r="G11" i="8"/>
  <c r="G12" i="8" s="1"/>
  <c r="F11" i="8"/>
  <c r="E11" i="8"/>
  <c r="D11" i="8"/>
  <c r="C11" i="8"/>
  <c r="C12" i="8" s="1"/>
  <c r="B11" i="8"/>
  <c r="D9" i="4"/>
  <c r="C165" i="2"/>
  <c r="C164" i="2" s="1"/>
  <c r="D49" i="12"/>
  <c r="D48" i="12"/>
  <c r="D47" i="12"/>
  <c r="D45" i="12"/>
  <c r="B42" i="12"/>
  <c r="B1" i="12"/>
  <c r="B30" i="12"/>
  <c r="B29" i="12"/>
  <c r="A30" i="12"/>
  <c r="A31" i="12"/>
  <c r="F144" i="10"/>
  <c r="D144" i="10"/>
  <c r="F125" i="10"/>
  <c r="F129" i="10"/>
  <c r="F128" i="10"/>
  <c r="F127" i="10"/>
  <c r="F126" i="10"/>
  <c r="D125" i="10"/>
  <c r="I7" i="10" s="1"/>
  <c r="I5" i="10"/>
  <c r="I4" i="10"/>
  <c r="I29" i="9"/>
  <c r="O32" i="9"/>
  <c r="N9" i="9"/>
  <c r="N13" i="9"/>
  <c r="N17" i="9"/>
  <c r="N21" i="9"/>
  <c r="N22" i="9"/>
  <c r="N25" i="9"/>
  <c r="N26" i="9"/>
  <c r="N29" i="9"/>
  <c r="N6" i="9"/>
  <c r="M30" i="9"/>
  <c r="M29" i="9"/>
  <c r="M28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6" i="9"/>
  <c r="N5" i="9"/>
  <c r="I5" i="9"/>
  <c r="I30" i="9"/>
  <c r="J29" i="9"/>
  <c r="N28" i="9" l="1"/>
  <c r="N24" i="9"/>
  <c r="N20" i="9"/>
  <c r="N16" i="9"/>
  <c r="N12" i="9"/>
  <c r="N7" i="9"/>
  <c r="N27" i="9"/>
  <c r="N23" i="9"/>
  <c r="N19" i="9"/>
  <c r="N15" i="9"/>
  <c r="N11" i="9"/>
  <c r="N30" i="9"/>
  <c r="N18" i="9"/>
  <c r="N14" i="9"/>
  <c r="E8" i="8"/>
  <c r="F88" i="8"/>
  <c r="B88" i="8"/>
  <c r="E68" i="8"/>
  <c r="I68" i="8"/>
  <c r="F68" i="8"/>
  <c r="B68" i="8"/>
  <c r="I8" i="8"/>
  <c r="H56" i="8"/>
  <c r="B76" i="8"/>
  <c r="F76" i="8"/>
  <c r="D72" i="8"/>
  <c r="H72" i="8"/>
  <c r="E72" i="8"/>
  <c r="I72" i="8"/>
  <c r="B72" i="8"/>
  <c r="F72" i="8"/>
  <c r="E56" i="8"/>
  <c r="C76" i="8"/>
  <c r="G76" i="8"/>
  <c r="B64" i="8"/>
  <c r="F64" i="8"/>
  <c r="D84" i="8"/>
  <c r="H84" i="8"/>
  <c r="B80" i="8"/>
  <c r="F80" i="8"/>
  <c r="D76" i="8"/>
  <c r="H76" i="8"/>
  <c r="D80" i="8"/>
  <c r="H80" i="8"/>
  <c r="E80" i="8"/>
  <c r="I80" i="8"/>
  <c r="C56" i="8"/>
  <c r="G56" i="8"/>
  <c r="C64" i="8"/>
  <c r="G64" i="8"/>
  <c r="E84" i="8"/>
  <c r="I84" i="8"/>
  <c r="D64" i="8"/>
  <c r="H64" i="8"/>
  <c r="B84" i="8"/>
  <c r="F84" i="8"/>
  <c r="I56" i="8"/>
  <c r="E64" i="8"/>
  <c r="I64" i="8"/>
  <c r="C84" i="8"/>
  <c r="G84" i="8"/>
  <c r="F56" i="8"/>
  <c r="C8" i="8"/>
  <c r="G8" i="8"/>
  <c r="F8" i="8"/>
  <c r="B12" i="8"/>
  <c r="F12" i="8"/>
  <c r="D12" i="8"/>
  <c r="H12" i="8"/>
  <c r="E12" i="8"/>
  <c r="I12" i="8"/>
  <c r="I6" i="10"/>
  <c r="N8" i="9"/>
  <c r="K29" i="9"/>
  <c r="L29" i="9" s="1"/>
  <c r="N32" i="9" l="1"/>
  <c r="F75" i="10" l="1"/>
  <c r="G19" i="9"/>
  <c r="J19" i="9"/>
  <c r="I19" i="9"/>
  <c r="D15" i="5"/>
  <c r="A29" i="12"/>
  <c r="A28" i="12"/>
  <c r="A27" i="12"/>
  <c r="A26" i="12"/>
  <c r="A25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6" i="12"/>
  <c r="N30" i="11"/>
  <c r="F46" i="11"/>
  <c r="F44" i="11"/>
  <c r="L46" i="11"/>
  <c r="L44" i="11"/>
  <c r="L33" i="11"/>
  <c r="L30" i="11"/>
  <c r="L31" i="11"/>
  <c r="N31" i="11" s="1"/>
  <c r="L9" i="11"/>
  <c r="L6" i="11"/>
  <c r="N6" i="11" s="1"/>
  <c r="L8" i="11"/>
  <c r="L7" i="11"/>
  <c r="L12" i="11"/>
  <c r="L14" i="11"/>
  <c r="F36" i="11"/>
  <c r="F33" i="11"/>
  <c r="F9" i="11"/>
  <c r="F32" i="11"/>
  <c r="E32" i="11"/>
  <c r="E30" i="11"/>
  <c r="F30" i="11" s="1"/>
  <c r="B30" i="11"/>
  <c r="H30" i="11" s="1"/>
  <c r="F16" i="11"/>
  <c r="F14" i="11"/>
  <c r="F12" i="11"/>
  <c r="F11" i="11"/>
  <c r="F7" i="11"/>
  <c r="F6" i="11"/>
  <c r="K19" i="9" l="1"/>
  <c r="L19" i="9" s="1"/>
  <c r="D74" i="10" s="1"/>
  <c r="D141" i="10" l="1"/>
  <c r="D140" i="10" s="1"/>
  <c r="D139" i="10"/>
  <c r="D138" i="10" s="1"/>
  <c r="F5" i="10"/>
  <c r="C119" i="10"/>
  <c r="C114" i="10"/>
  <c r="C109" i="10"/>
  <c r="C104" i="10"/>
  <c r="C99" i="10"/>
  <c r="C94" i="10"/>
  <c r="C89" i="10"/>
  <c r="C84" i="10"/>
  <c r="C79" i="10"/>
  <c r="C74" i="10"/>
  <c r="C69" i="10"/>
  <c r="C64" i="10"/>
  <c r="C59" i="10"/>
  <c r="C54" i="10"/>
  <c r="C49" i="10"/>
  <c r="C44" i="10"/>
  <c r="C39" i="10"/>
  <c r="C34" i="10"/>
  <c r="C29" i="10"/>
  <c r="C24" i="10"/>
  <c r="C19" i="10"/>
  <c r="C14" i="10"/>
  <c r="C9" i="10"/>
  <c r="C4" i="10"/>
  <c r="H24" i="10"/>
  <c r="H44" i="10"/>
  <c r="H64" i="10"/>
  <c r="G9" i="9"/>
  <c r="G8" i="9"/>
  <c r="D137" i="10"/>
  <c r="F137" i="10" s="1"/>
  <c r="F136" i="10" s="1"/>
  <c r="B32" i="12" s="1"/>
  <c r="D136" i="10" l="1"/>
  <c r="F141" i="10"/>
  <c r="F140" i="10" s="1"/>
  <c r="B34" i="12" s="1"/>
  <c r="F139" i="10"/>
  <c r="F138" i="10" s="1"/>
  <c r="B33" i="12" s="1"/>
  <c r="F76" i="10"/>
  <c r="F120" i="10"/>
  <c r="F121" i="10"/>
  <c r="F15" i="10"/>
  <c r="F35" i="10"/>
  <c r="F55" i="10"/>
  <c r="F90" i="10"/>
  <c r="F78" i="10" l="1"/>
  <c r="F123" i="10"/>
  <c r="F16" i="10"/>
  <c r="F36" i="10"/>
  <c r="F56" i="10"/>
  <c r="F91" i="10"/>
  <c r="F77" i="10" l="1"/>
  <c r="F74" i="10" s="1"/>
  <c r="F122" i="10"/>
  <c r="F119" i="10" s="1"/>
  <c r="F18" i="10"/>
  <c r="F17" i="10"/>
  <c r="F14" i="10" s="1"/>
  <c r="B8" i="12" s="1"/>
  <c r="F38" i="10"/>
  <c r="F37" i="10"/>
  <c r="F58" i="10"/>
  <c r="F57" i="10"/>
  <c r="F93" i="10"/>
  <c r="F92" i="10"/>
  <c r="F89" i="10" s="1"/>
  <c r="B23" i="12" s="1"/>
  <c r="B20" i="12" l="1"/>
  <c r="F54" i="10"/>
  <c r="B16" i="12" s="1"/>
  <c r="F34" i="10"/>
  <c r="B12" i="12" s="1"/>
  <c r="D298" i="5" l="1"/>
  <c r="C298" i="5"/>
  <c r="D288" i="5"/>
  <c r="D278" i="5"/>
  <c r="D267" i="5"/>
  <c r="D257" i="5"/>
  <c r="D247" i="5"/>
  <c r="C245" i="5"/>
  <c r="D237" i="5"/>
  <c r="P114" i="5"/>
  <c r="P134" i="5" s="1"/>
  <c r="P174" i="5" s="1"/>
  <c r="O114" i="5"/>
  <c r="N114" i="5"/>
  <c r="M114" i="5"/>
  <c r="M134" i="5" s="1"/>
  <c r="L114" i="5"/>
  <c r="L134" i="5" s="1"/>
  <c r="L174" i="5" s="1"/>
  <c r="K114" i="5"/>
  <c r="K134" i="5" s="1"/>
  <c r="K174" i="5" s="1"/>
  <c r="J114" i="5"/>
  <c r="J134" i="5" s="1"/>
  <c r="J174" i="5" s="1"/>
  <c r="I114" i="5"/>
  <c r="H114" i="5"/>
  <c r="H134" i="5" s="1"/>
  <c r="H174" i="5" s="1"/>
  <c r="G114" i="5"/>
  <c r="G134" i="5" s="1"/>
  <c r="G174" i="5" s="1"/>
  <c r="F114" i="5"/>
  <c r="F134" i="5" s="1"/>
  <c r="F174" i="5" s="1"/>
  <c r="E114" i="5"/>
  <c r="D114" i="5"/>
  <c r="D51" i="5"/>
  <c r="D50" i="5"/>
  <c r="D49" i="5"/>
  <c r="D48" i="5"/>
  <c r="D47" i="5"/>
  <c r="P35" i="5"/>
  <c r="P55" i="5" s="1"/>
  <c r="O35" i="5"/>
  <c r="N35" i="5"/>
  <c r="N55" i="5" s="1"/>
  <c r="M35" i="5"/>
  <c r="M55" i="5" s="1"/>
  <c r="L35" i="5"/>
  <c r="L55" i="5" s="1"/>
  <c r="K35" i="5"/>
  <c r="K55" i="5" s="1"/>
  <c r="J35" i="5"/>
  <c r="I35" i="5"/>
  <c r="I55" i="5" s="1"/>
  <c r="H35" i="5"/>
  <c r="H55" i="5" s="1"/>
  <c r="G35" i="5"/>
  <c r="G55" i="5" s="1"/>
  <c r="F35" i="5"/>
  <c r="F55" i="5" s="1"/>
  <c r="E35" i="5"/>
  <c r="E55" i="5" s="1"/>
  <c r="D35" i="5"/>
  <c r="D5" i="5"/>
  <c r="D298" i="18"/>
  <c r="C298" i="18"/>
  <c r="D288" i="18"/>
  <c r="D278" i="18"/>
  <c r="D267" i="18"/>
  <c r="D257" i="18"/>
  <c r="C245" i="18"/>
  <c r="D247" i="18"/>
  <c r="D237" i="18"/>
  <c r="D134" i="5" l="1"/>
  <c r="D174" i="5" s="1"/>
  <c r="E134" i="5"/>
  <c r="E174" i="5" s="1"/>
  <c r="J55" i="5"/>
  <c r="I134" i="5"/>
  <c r="D55" i="5"/>
  <c r="N134" i="5"/>
  <c r="M174" i="5"/>
  <c r="O134" i="5"/>
  <c r="O55" i="5"/>
  <c r="D48" i="18"/>
  <c r="D49" i="18"/>
  <c r="D50" i="18"/>
  <c r="D51" i="18"/>
  <c r="D47" i="18"/>
  <c r="D15" i="18"/>
  <c r="D5" i="18"/>
  <c r="P114" i="18"/>
  <c r="O114" i="18"/>
  <c r="O134" i="18" s="1"/>
  <c r="O174" i="18" s="1"/>
  <c r="N114" i="18"/>
  <c r="M114" i="18"/>
  <c r="M134" i="18" s="1"/>
  <c r="L114" i="18"/>
  <c r="L134" i="18" s="1"/>
  <c r="L174" i="18" s="1"/>
  <c r="K114" i="18"/>
  <c r="K134" i="18" s="1"/>
  <c r="J114" i="18"/>
  <c r="J134" i="18" s="1"/>
  <c r="J174" i="18" s="1"/>
  <c r="I114" i="18"/>
  <c r="I134" i="18" s="1"/>
  <c r="H114" i="18"/>
  <c r="G114" i="18"/>
  <c r="F114" i="18"/>
  <c r="E114" i="18"/>
  <c r="E134" i="18" s="1"/>
  <c r="D114" i="18"/>
  <c r="D134" i="18" s="1"/>
  <c r="D174" i="18" s="1"/>
  <c r="P35" i="18"/>
  <c r="O35" i="18"/>
  <c r="N35" i="18"/>
  <c r="N55" i="18" s="1"/>
  <c r="M35" i="18"/>
  <c r="L35" i="18"/>
  <c r="L55" i="18" s="1"/>
  <c r="K35" i="18"/>
  <c r="J35" i="18"/>
  <c r="I35" i="18"/>
  <c r="H35" i="18"/>
  <c r="H55" i="18" s="1"/>
  <c r="G35" i="18"/>
  <c r="F35" i="18"/>
  <c r="E35" i="18"/>
  <c r="E55" i="18" s="1"/>
  <c r="D35" i="18"/>
  <c r="D55" i="18" s="1"/>
  <c r="P66" i="4"/>
  <c r="P77" i="4" s="1"/>
  <c r="P99" i="4" s="1"/>
  <c r="O66" i="4"/>
  <c r="O77" i="4" s="1"/>
  <c r="O99" i="4" s="1"/>
  <c r="N66" i="4"/>
  <c r="N77" i="4" s="1"/>
  <c r="N99" i="4" s="1"/>
  <c r="M66" i="4"/>
  <c r="M77" i="4" s="1"/>
  <c r="M99" i="4" s="1"/>
  <c r="L66" i="4"/>
  <c r="L77" i="4" s="1"/>
  <c r="L99" i="4" s="1"/>
  <c r="K66" i="4"/>
  <c r="K77" i="4" s="1"/>
  <c r="K99" i="4" s="1"/>
  <c r="J66" i="4"/>
  <c r="J77" i="4" s="1"/>
  <c r="J99" i="4" s="1"/>
  <c r="I66" i="4"/>
  <c r="I77" i="4" s="1"/>
  <c r="I99" i="4" s="1"/>
  <c r="H66" i="4"/>
  <c r="H77" i="4" s="1"/>
  <c r="H99" i="4" s="1"/>
  <c r="G66" i="4"/>
  <c r="G77" i="4" s="1"/>
  <c r="G99" i="4" s="1"/>
  <c r="F66" i="4"/>
  <c r="F77" i="4" s="1"/>
  <c r="F99" i="4" s="1"/>
  <c r="E66" i="4"/>
  <c r="E77" i="4" s="1"/>
  <c r="E99" i="4" s="1"/>
  <c r="D66" i="4"/>
  <c r="D77" i="4" s="1"/>
  <c r="D99" i="4" s="1"/>
  <c r="B50" i="4"/>
  <c r="A50" i="4"/>
  <c r="P19" i="4"/>
  <c r="P31" i="4" s="1"/>
  <c r="O19" i="4"/>
  <c r="O31" i="4" s="1"/>
  <c r="N19" i="4"/>
  <c r="N31" i="4" s="1"/>
  <c r="M19" i="4"/>
  <c r="M31" i="4" s="1"/>
  <c r="L19" i="4"/>
  <c r="L31" i="4" s="1"/>
  <c r="K19" i="4"/>
  <c r="K31" i="4" s="1"/>
  <c r="J19" i="4"/>
  <c r="J31" i="4" s="1"/>
  <c r="I19" i="4"/>
  <c r="I31" i="4" s="1"/>
  <c r="H19" i="4"/>
  <c r="H31" i="4" s="1"/>
  <c r="G19" i="4"/>
  <c r="G31" i="4" s="1"/>
  <c r="F19" i="4"/>
  <c r="F31" i="4" s="1"/>
  <c r="E19" i="4"/>
  <c r="E31" i="4" s="1"/>
  <c r="D19" i="4"/>
  <c r="D31" i="4" s="1"/>
  <c r="E23" i="3"/>
  <c r="E22" i="3"/>
  <c r="E21" i="3"/>
  <c r="E20" i="3"/>
  <c r="E19" i="3"/>
  <c r="E18" i="3"/>
  <c r="E16" i="3"/>
  <c r="E3" i="3"/>
  <c r="E2" i="3"/>
  <c r="P89" i="3"/>
  <c r="P100" i="3" s="1"/>
  <c r="O89" i="3"/>
  <c r="O100" i="3" s="1"/>
  <c r="N89" i="3"/>
  <c r="M89" i="3"/>
  <c r="L89" i="3"/>
  <c r="K89" i="3"/>
  <c r="J89" i="3"/>
  <c r="J100" i="3" s="1"/>
  <c r="I89" i="3"/>
  <c r="I100" i="3" s="1"/>
  <c r="H89" i="3"/>
  <c r="H100" i="3" s="1"/>
  <c r="H122" i="3" s="1"/>
  <c r="G89" i="3"/>
  <c r="G100" i="3" s="1"/>
  <c r="F89" i="3"/>
  <c r="F100" i="3" s="1"/>
  <c r="E89" i="3"/>
  <c r="D89" i="3"/>
  <c r="D100" i="3" s="1"/>
  <c r="D122" i="3" s="1"/>
  <c r="B73" i="3"/>
  <c r="P42" i="3"/>
  <c r="P54" i="3" s="1"/>
  <c r="O42" i="3"/>
  <c r="N42" i="3"/>
  <c r="M42" i="3"/>
  <c r="M54" i="3" s="1"/>
  <c r="L42" i="3"/>
  <c r="L54" i="3" s="1"/>
  <c r="K42" i="3"/>
  <c r="K54" i="3" s="1"/>
  <c r="J42" i="3"/>
  <c r="J54" i="3" s="1"/>
  <c r="I42" i="3"/>
  <c r="H42" i="3"/>
  <c r="G42" i="3"/>
  <c r="F42" i="3"/>
  <c r="E42" i="3"/>
  <c r="E54" i="3" s="1"/>
  <c r="D42" i="3"/>
  <c r="D54" i="3" s="1"/>
  <c r="C171" i="2"/>
  <c r="C142" i="2"/>
  <c r="D142" i="3" s="1"/>
  <c r="D119" i="4" s="1"/>
  <c r="C141" i="2"/>
  <c r="D141" i="3" s="1"/>
  <c r="D118" i="4" s="1"/>
  <c r="C135" i="2"/>
  <c r="D135" i="3" s="1"/>
  <c r="D112" i="4" s="1"/>
  <c r="C129" i="2"/>
  <c r="D129" i="3" s="1"/>
  <c r="D106" i="4" s="1"/>
  <c r="C128" i="2"/>
  <c r="D128" i="3" s="1"/>
  <c r="D105" i="4" s="1"/>
  <c r="C127" i="2"/>
  <c r="D127" i="3" s="1"/>
  <c r="D104" i="4" s="1"/>
  <c r="C126" i="2"/>
  <c r="D126" i="3" s="1"/>
  <c r="D103" i="4" s="1"/>
  <c r="C125" i="2"/>
  <c r="D125" i="3" s="1"/>
  <c r="D102" i="4" s="1"/>
  <c r="C124" i="2"/>
  <c r="D124" i="3" s="1"/>
  <c r="D101" i="4" s="1"/>
  <c r="C118" i="2"/>
  <c r="D118" i="3" s="1"/>
  <c r="D95" i="4" s="1"/>
  <c r="C117" i="2"/>
  <c r="D117" i="3" s="1"/>
  <c r="D94" i="4" s="1"/>
  <c r="C116" i="2"/>
  <c r="D116" i="3" s="1"/>
  <c r="D93" i="4" s="1"/>
  <c r="C115" i="2"/>
  <c r="D115" i="3" s="1"/>
  <c r="D92" i="4" s="1"/>
  <c r="C114" i="2"/>
  <c r="D114" i="3" s="1"/>
  <c r="D91" i="4" s="1"/>
  <c r="C113" i="2"/>
  <c r="D113" i="3" s="1"/>
  <c r="C102" i="2"/>
  <c r="D102" i="3" s="1"/>
  <c r="C79" i="2"/>
  <c r="D79" i="3" s="1"/>
  <c r="D56" i="4" s="1"/>
  <c r="C71" i="2"/>
  <c r="D71" i="3" s="1"/>
  <c r="D48" i="4" s="1"/>
  <c r="C70" i="2"/>
  <c r="D70" i="3" s="1"/>
  <c r="D47" i="4" s="1"/>
  <c r="C69" i="2"/>
  <c r="D69" i="3" s="1"/>
  <c r="D46" i="4" s="1"/>
  <c r="C68" i="2"/>
  <c r="D68" i="3" s="1"/>
  <c r="D45" i="4" s="1"/>
  <c r="C66" i="2"/>
  <c r="D66" i="3" s="1"/>
  <c r="D43" i="4" s="1"/>
  <c r="C56" i="2"/>
  <c r="D56" i="3" s="1"/>
  <c r="D33" i="4" s="1"/>
  <c r="C45" i="2"/>
  <c r="D45" i="3" s="1"/>
  <c r="D22" i="4" s="1"/>
  <c r="C44" i="2"/>
  <c r="D44" i="3" s="1"/>
  <c r="D21" i="4" s="1"/>
  <c r="C67" i="2"/>
  <c r="D67" i="3" s="1"/>
  <c r="D44" i="4" s="1"/>
  <c r="C81" i="2"/>
  <c r="D81" i="3" s="1"/>
  <c r="D58" i="4" s="1"/>
  <c r="C80" i="2"/>
  <c r="D80" i="3" s="1"/>
  <c r="D308" i="18" l="1"/>
  <c r="D134" i="3"/>
  <c r="D77" i="5"/>
  <c r="D77" i="18"/>
  <c r="D158" i="5"/>
  <c r="D158" i="18"/>
  <c r="D98" i="5"/>
  <c r="D98" i="18"/>
  <c r="D157" i="5"/>
  <c r="D157" i="18"/>
  <c r="D38" i="5"/>
  <c r="D38" i="18"/>
  <c r="D57" i="5"/>
  <c r="D57" i="18"/>
  <c r="D78" i="5"/>
  <c r="D78" i="18"/>
  <c r="D176" i="5"/>
  <c r="D176" i="18"/>
  <c r="D177" i="5"/>
  <c r="D177" i="18"/>
  <c r="D181" i="18"/>
  <c r="D181" i="5"/>
  <c r="D178" i="5"/>
  <c r="D178" i="18"/>
  <c r="D81" i="5"/>
  <c r="D81" i="18"/>
  <c r="D179" i="5"/>
  <c r="D179" i="18"/>
  <c r="D79" i="5"/>
  <c r="D79" i="18"/>
  <c r="D80" i="5"/>
  <c r="D80" i="18"/>
  <c r="D96" i="5"/>
  <c r="D96" i="18"/>
  <c r="D180" i="5"/>
  <c r="D180" i="18"/>
  <c r="D57" i="4"/>
  <c r="D37" i="5"/>
  <c r="D37" i="18"/>
  <c r="D79" i="4"/>
  <c r="D90" i="4"/>
  <c r="D89" i="4" s="1"/>
  <c r="D112" i="3"/>
  <c r="D191" i="5"/>
  <c r="D191" i="18"/>
  <c r="D190" i="18" s="1"/>
  <c r="D202" i="5"/>
  <c r="D202" i="18"/>
  <c r="D203" i="5"/>
  <c r="D203" i="18"/>
  <c r="D65" i="3"/>
  <c r="D159" i="18"/>
  <c r="D159" i="5"/>
  <c r="D140" i="3"/>
  <c r="D76" i="5"/>
  <c r="D76" i="18"/>
  <c r="D75" i="18" s="1"/>
  <c r="D160" i="18"/>
  <c r="D160" i="5"/>
  <c r="C170" i="2"/>
  <c r="D171" i="3"/>
  <c r="D165" i="3"/>
  <c r="D164" i="3" s="1"/>
  <c r="D161" i="18"/>
  <c r="D161" i="5"/>
  <c r="I174" i="5"/>
  <c r="O174" i="5"/>
  <c r="N174" i="5"/>
  <c r="D201" i="18"/>
  <c r="G55" i="18"/>
  <c r="K174" i="18"/>
  <c r="I55" i="18"/>
  <c r="F55" i="18"/>
  <c r="J55" i="18"/>
  <c r="K55" i="18"/>
  <c r="N134" i="18"/>
  <c r="H134" i="18"/>
  <c r="M55" i="18"/>
  <c r="P55" i="18"/>
  <c r="P134" i="18"/>
  <c r="E174" i="18"/>
  <c r="O55" i="18"/>
  <c r="F134" i="18"/>
  <c r="G134" i="18"/>
  <c r="M174" i="18"/>
  <c r="I174" i="18"/>
  <c r="D117" i="4"/>
  <c r="D111" i="4"/>
  <c r="D100" i="4"/>
  <c r="D42" i="4"/>
  <c r="D123" i="3"/>
  <c r="L100" i="3"/>
  <c r="G122" i="3"/>
  <c r="O122" i="3"/>
  <c r="F54" i="3"/>
  <c r="J122" i="3"/>
  <c r="P122" i="3"/>
  <c r="G54" i="3"/>
  <c r="H54" i="3"/>
  <c r="I54" i="3"/>
  <c r="K100" i="3"/>
  <c r="M100" i="3"/>
  <c r="E100" i="3"/>
  <c r="N54" i="3"/>
  <c r="N100" i="3"/>
  <c r="F122" i="3"/>
  <c r="O54" i="3"/>
  <c r="I122" i="3"/>
  <c r="C65" i="2"/>
  <c r="C123" i="2"/>
  <c r="C112" i="2"/>
  <c r="D175" i="18" l="1"/>
  <c r="D136" i="5"/>
  <c r="D136" i="18"/>
  <c r="D148" i="4"/>
  <c r="D170" i="3"/>
  <c r="D97" i="5"/>
  <c r="D97" i="18"/>
  <c r="D201" i="5"/>
  <c r="D190" i="5"/>
  <c r="D175" i="5"/>
  <c r="D142" i="4"/>
  <c r="D75" i="5"/>
  <c r="D156" i="5"/>
  <c r="D156" i="18"/>
  <c r="P174" i="18"/>
  <c r="H174" i="18"/>
  <c r="F174" i="18"/>
  <c r="N174" i="18"/>
  <c r="G174" i="18"/>
  <c r="N122" i="3"/>
  <c r="E122" i="3"/>
  <c r="M122" i="3"/>
  <c r="K122" i="3"/>
  <c r="L122" i="3"/>
  <c r="C134" i="2"/>
  <c r="D155" i="18" l="1"/>
  <c r="D243" i="18"/>
  <c r="D243" i="5"/>
  <c r="I142" i="4"/>
  <c r="I141" i="4" s="1"/>
  <c r="N142" i="4"/>
  <c r="N141" i="4" s="1"/>
  <c r="F142" i="4"/>
  <c r="F141" i="4" s="1"/>
  <c r="J142" i="4"/>
  <c r="D141" i="4"/>
  <c r="E142" i="4"/>
  <c r="G142" i="4"/>
  <c r="G141" i="4" s="1"/>
  <c r="M142" i="4"/>
  <c r="M141" i="4" s="1"/>
  <c r="O142" i="4"/>
  <c r="O141" i="4" s="1"/>
  <c r="L142" i="4"/>
  <c r="L141" i="4" s="1"/>
  <c r="H142" i="4"/>
  <c r="H141" i="4" s="1"/>
  <c r="K142" i="4"/>
  <c r="K141" i="4" s="1"/>
  <c r="P142" i="4"/>
  <c r="P141" i="4" s="1"/>
  <c r="D155" i="5"/>
  <c r="D253" i="18"/>
  <c r="D253" i="5"/>
  <c r="D147" i="4"/>
  <c r="C153" i="2"/>
  <c r="D153" i="3" s="1"/>
  <c r="D130" i="4" s="1"/>
  <c r="C152" i="2"/>
  <c r="D152" i="3" s="1"/>
  <c r="D129" i="4" s="1"/>
  <c r="C150" i="2"/>
  <c r="D150" i="3" s="1"/>
  <c r="D127" i="4" s="1"/>
  <c r="C149" i="2"/>
  <c r="D149" i="3" s="1"/>
  <c r="D126" i="4" s="1"/>
  <c r="C151" i="2"/>
  <c r="D151" i="3" s="1"/>
  <c r="D128" i="4" s="1"/>
  <c r="C107" i="2"/>
  <c r="D107" i="3" s="1"/>
  <c r="D84" i="4" s="1"/>
  <c r="C106" i="2"/>
  <c r="D106" i="3" s="1"/>
  <c r="D83" i="4" s="1"/>
  <c r="C105" i="2"/>
  <c r="D105" i="3" s="1"/>
  <c r="D82" i="4" s="1"/>
  <c r="C104" i="2"/>
  <c r="D104" i="3" s="1"/>
  <c r="D81" i="4" s="1"/>
  <c r="C103" i="2"/>
  <c r="C96" i="2"/>
  <c r="D96" i="3" s="1"/>
  <c r="D73" i="4" s="1"/>
  <c r="C95" i="2"/>
  <c r="D95" i="3" s="1"/>
  <c r="D72" i="4" s="1"/>
  <c r="C94" i="2"/>
  <c r="D94" i="3" s="1"/>
  <c r="D71" i="4" s="1"/>
  <c r="C93" i="2"/>
  <c r="D93" i="3" s="1"/>
  <c r="C92" i="2"/>
  <c r="D92" i="3" s="1"/>
  <c r="D69" i="4" s="1"/>
  <c r="C91" i="2"/>
  <c r="D91" i="3" s="1"/>
  <c r="D68" i="4" s="1"/>
  <c r="C84" i="2"/>
  <c r="D84" i="3" s="1"/>
  <c r="D61" i="4" s="1"/>
  <c r="C83" i="2"/>
  <c r="D83" i="3" s="1"/>
  <c r="D60" i="4" s="1"/>
  <c r="C82" i="2"/>
  <c r="D82" i="3" s="1"/>
  <c r="D89" i="2"/>
  <c r="D100" i="2" s="1"/>
  <c r="E89" i="2"/>
  <c r="E100" i="2" s="1"/>
  <c r="F89" i="2"/>
  <c r="F100" i="2" s="1"/>
  <c r="G89" i="2"/>
  <c r="G100" i="2" s="1"/>
  <c r="H89" i="2"/>
  <c r="H100" i="2" s="1"/>
  <c r="I89" i="2"/>
  <c r="I100" i="2" s="1"/>
  <c r="J89" i="2"/>
  <c r="J100" i="2" s="1"/>
  <c r="K89" i="2"/>
  <c r="K100" i="2" s="1"/>
  <c r="L89" i="2"/>
  <c r="L100" i="2" s="1"/>
  <c r="M89" i="2"/>
  <c r="M100" i="2" s="1"/>
  <c r="N89" i="2"/>
  <c r="N100" i="2" s="1"/>
  <c r="O89" i="2"/>
  <c r="O100" i="2" s="1"/>
  <c r="C89" i="2"/>
  <c r="C100" i="2" s="1"/>
  <c r="C49" i="2"/>
  <c r="D49" i="3" s="1"/>
  <c r="D26" i="4" s="1"/>
  <c r="C57" i="2"/>
  <c r="D57" i="3" s="1"/>
  <c r="C60" i="2"/>
  <c r="D60" i="3" s="1"/>
  <c r="D37" i="4" s="1"/>
  <c r="C59" i="2"/>
  <c r="D59" i="3" s="1"/>
  <c r="D36" i="4" s="1"/>
  <c r="C58" i="2"/>
  <c r="D58" i="3" s="1"/>
  <c r="D35" i="4" s="1"/>
  <c r="C48" i="2"/>
  <c r="D48" i="3" s="1"/>
  <c r="D25" i="4" s="1"/>
  <c r="C50" i="2"/>
  <c r="D50" i="3" s="1"/>
  <c r="D27" i="4" s="1"/>
  <c r="C47" i="2"/>
  <c r="D47" i="3" s="1"/>
  <c r="D24" i="4" s="1"/>
  <c r="C46" i="2"/>
  <c r="D46" i="3" s="1"/>
  <c r="D42" i="2"/>
  <c r="D54" i="2" s="1"/>
  <c r="E42" i="2"/>
  <c r="E54" i="2" s="1"/>
  <c r="F42" i="2"/>
  <c r="F54" i="2" s="1"/>
  <c r="G42" i="2"/>
  <c r="G54" i="2" s="1"/>
  <c r="H42" i="2"/>
  <c r="H54" i="2" s="1"/>
  <c r="I42" i="2"/>
  <c r="I54" i="2" s="1"/>
  <c r="J42" i="2"/>
  <c r="J54" i="2" s="1"/>
  <c r="K42" i="2"/>
  <c r="K54" i="2" s="1"/>
  <c r="L42" i="2"/>
  <c r="L54" i="2" s="1"/>
  <c r="M42" i="2"/>
  <c r="M54" i="2" s="1"/>
  <c r="N42" i="2"/>
  <c r="N54" i="2" s="1"/>
  <c r="O42" i="2"/>
  <c r="O54" i="2" s="1"/>
  <c r="C42" i="2"/>
  <c r="C54" i="2" s="1"/>
  <c r="Z8" i="1"/>
  <c r="D40" i="5" l="1"/>
  <c r="D40" i="18"/>
  <c r="D141" i="5"/>
  <c r="D141" i="18"/>
  <c r="J141" i="4"/>
  <c r="D41" i="5"/>
  <c r="D41" i="18"/>
  <c r="D101" i="5"/>
  <c r="D101" i="18"/>
  <c r="D221" i="18"/>
  <c r="D221" i="5"/>
  <c r="D23" i="4"/>
  <c r="D43" i="3"/>
  <c r="E141" i="4"/>
  <c r="D140" i="5"/>
  <c r="D140" i="18"/>
  <c r="D116" i="5"/>
  <c r="D116" i="18"/>
  <c r="D219" i="18"/>
  <c r="D219" i="5"/>
  <c r="D59" i="5"/>
  <c r="D59" i="18"/>
  <c r="D60" i="5"/>
  <c r="D60" i="18"/>
  <c r="D117" i="5"/>
  <c r="D117" i="18"/>
  <c r="D220" i="18"/>
  <c r="D220" i="5"/>
  <c r="D100" i="5"/>
  <c r="D100" i="18"/>
  <c r="D90" i="3"/>
  <c r="D70" i="4"/>
  <c r="D67" i="4" s="1"/>
  <c r="D242" i="5"/>
  <c r="D43" i="5"/>
  <c r="D43" i="18"/>
  <c r="D61" i="5"/>
  <c r="D61" i="18"/>
  <c r="D34" i="4"/>
  <c r="D55" i="3"/>
  <c r="D119" i="5"/>
  <c r="D119" i="18"/>
  <c r="D223" i="5"/>
  <c r="D223" i="18"/>
  <c r="D252" i="5"/>
  <c r="D242" i="18"/>
  <c r="D139" i="5"/>
  <c r="D139" i="18"/>
  <c r="D59" i="4"/>
  <c r="D78" i="3"/>
  <c r="D222" i="5"/>
  <c r="D222" i="18"/>
  <c r="D252" i="18"/>
  <c r="D42" i="5"/>
  <c r="D42" i="18"/>
  <c r="D120" i="5"/>
  <c r="D120" i="18"/>
  <c r="D121" i="5"/>
  <c r="D121" i="18"/>
  <c r="C101" i="2"/>
  <c r="D103" i="3"/>
  <c r="D138" i="5"/>
  <c r="D138" i="18"/>
  <c r="C43" i="2"/>
  <c r="C90" i="2"/>
  <c r="C55" i="2"/>
  <c r="K122" i="2"/>
  <c r="J122" i="2"/>
  <c r="C148" i="2"/>
  <c r="D148" i="3" s="1"/>
  <c r="C122" i="2"/>
  <c r="M122" i="2"/>
  <c r="I122" i="2"/>
  <c r="L122" i="2"/>
  <c r="F122" i="2"/>
  <c r="H122" i="2"/>
  <c r="G122" i="2"/>
  <c r="O122" i="2"/>
  <c r="E122" i="2"/>
  <c r="N122" i="2"/>
  <c r="D122" i="2"/>
  <c r="C78" i="2"/>
  <c r="D125" i="4" l="1"/>
  <c r="D147" i="3"/>
  <c r="D118" i="5"/>
  <c r="D118" i="18"/>
  <c r="D115" i="18" s="1"/>
  <c r="D39" i="5"/>
  <c r="D39" i="18"/>
  <c r="D20" i="4"/>
  <c r="D99" i="5"/>
  <c r="D99" i="18"/>
  <c r="D55" i="4"/>
  <c r="D80" i="4"/>
  <c r="D101" i="3"/>
  <c r="D58" i="5"/>
  <c r="D56" i="5" s="1"/>
  <c r="D58" i="18"/>
  <c r="D32" i="4"/>
  <c r="C147" i="2"/>
  <c r="C21" i="1"/>
  <c r="L22" i="1"/>
  <c r="C11" i="1"/>
  <c r="AJ4" i="1"/>
  <c r="D218" i="5" l="1"/>
  <c r="D218" i="18"/>
  <c r="D124" i="4"/>
  <c r="D36" i="18"/>
  <c r="D115" i="5"/>
  <c r="D36" i="5"/>
  <c r="D137" i="5"/>
  <c r="D137" i="18"/>
  <c r="D78" i="4"/>
  <c r="C177" i="2"/>
  <c r="C32" i="2"/>
  <c r="D32" i="3" s="1"/>
  <c r="D95" i="18"/>
  <c r="D56" i="18"/>
  <c r="D95" i="5"/>
  <c r="C38" i="2"/>
  <c r="D38" i="3" s="1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20" i="9"/>
  <c r="J21" i="9"/>
  <c r="J22" i="9"/>
  <c r="J23" i="9"/>
  <c r="J24" i="9"/>
  <c r="J25" i="9"/>
  <c r="J26" i="9"/>
  <c r="J27" i="9"/>
  <c r="J28" i="9"/>
  <c r="J30" i="9"/>
  <c r="J5" i="9"/>
  <c r="O2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20" i="9"/>
  <c r="I21" i="9"/>
  <c r="I22" i="9"/>
  <c r="I23" i="9"/>
  <c r="I24" i="9"/>
  <c r="I25" i="9"/>
  <c r="I26" i="9"/>
  <c r="I27" i="9"/>
  <c r="I28" i="9"/>
  <c r="N3" i="9"/>
  <c r="G11" i="9"/>
  <c r="G10" i="9"/>
  <c r="D135" i="5" l="1"/>
  <c r="D15" i="4"/>
  <c r="D37" i="3"/>
  <c r="D135" i="18"/>
  <c r="D217" i="5"/>
  <c r="D217" i="18"/>
  <c r="C183" i="2"/>
  <c r="D177" i="3"/>
  <c r="C176" i="2"/>
  <c r="K23" i="9"/>
  <c r="L23" i="9" s="1"/>
  <c r="D94" i="10" s="1"/>
  <c r="K11" i="9"/>
  <c r="L11" i="9" s="1"/>
  <c r="D34" i="10" s="1"/>
  <c r="K12" i="9"/>
  <c r="L12" i="9" s="1"/>
  <c r="D39" i="10" s="1"/>
  <c r="K18" i="9"/>
  <c r="L18" i="9" s="1"/>
  <c r="D69" i="10" s="1"/>
  <c r="K21" i="9"/>
  <c r="L21" i="9" s="1"/>
  <c r="D84" i="10" s="1"/>
  <c r="K10" i="9"/>
  <c r="L10" i="9" s="1"/>
  <c r="D29" i="10" s="1"/>
  <c r="C37" i="2"/>
  <c r="K9" i="9"/>
  <c r="L9" i="9" s="1"/>
  <c r="D24" i="10" s="1"/>
  <c r="C31" i="2"/>
  <c r="D31" i="3" s="1"/>
  <c r="K26" i="9"/>
  <c r="L26" i="9" s="1"/>
  <c r="D109" i="10" s="1"/>
  <c r="K15" i="9"/>
  <c r="L15" i="9" s="1"/>
  <c r="D54" i="10" s="1"/>
  <c r="K30" i="9"/>
  <c r="L30" i="9" s="1"/>
  <c r="D131" i="10" s="1"/>
  <c r="K6" i="9"/>
  <c r="L6" i="9" s="1"/>
  <c r="D9" i="10" s="1"/>
  <c r="K22" i="9"/>
  <c r="L22" i="9" s="1"/>
  <c r="D89" i="10" s="1"/>
  <c r="K20" i="9"/>
  <c r="L20" i="9" s="1"/>
  <c r="D79" i="10" s="1"/>
  <c r="K8" i="9"/>
  <c r="L8" i="9" s="1"/>
  <c r="D19" i="10" s="1"/>
  <c r="K7" i="9"/>
  <c r="L7" i="9" s="1"/>
  <c r="D14" i="10" s="1"/>
  <c r="K5" i="9"/>
  <c r="L5" i="9" s="1"/>
  <c r="K27" i="9"/>
  <c r="L27" i="9" s="1"/>
  <c r="D114" i="10" s="1"/>
  <c r="K16" i="9"/>
  <c r="L16" i="9" s="1"/>
  <c r="D59" i="10" s="1"/>
  <c r="K28" i="9"/>
  <c r="L28" i="9" s="1"/>
  <c r="K17" i="9"/>
  <c r="L17" i="9" s="1"/>
  <c r="D64" i="10" s="1"/>
  <c r="K25" i="9"/>
  <c r="L25" i="9" s="1"/>
  <c r="D104" i="10" s="1"/>
  <c r="K14" i="9"/>
  <c r="L14" i="9" s="1"/>
  <c r="D49" i="10" s="1"/>
  <c r="K24" i="9"/>
  <c r="L24" i="9" s="1"/>
  <c r="D99" i="10" s="1"/>
  <c r="K13" i="9"/>
  <c r="L13" i="9" s="1"/>
  <c r="D44" i="10" s="1"/>
  <c r="O5" i="9"/>
  <c r="D119" i="10" l="1"/>
  <c r="L31" i="9"/>
  <c r="L35" i="9" s="1"/>
  <c r="L36" i="9" s="1"/>
  <c r="D134" i="10"/>
  <c r="D4" i="10"/>
  <c r="H9" i="10" s="1"/>
  <c r="D11" i="5"/>
  <c r="D8" i="4"/>
  <c r="D11" i="18"/>
  <c r="D21" i="5"/>
  <c r="D21" i="18"/>
  <c r="D14" i="4"/>
  <c r="D176" i="3"/>
  <c r="D154" i="4"/>
  <c r="D183" i="3"/>
  <c r="C182" i="2"/>
  <c r="C189" i="2"/>
  <c r="H84" i="10"/>
  <c r="H49" i="10"/>
  <c r="H29" i="10"/>
  <c r="H69" i="10"/>
  <c r="C195" i="2" l="1"/>
  <c r="D189" i="3"/>
  <c r="C188" i="2"/>
  <c r="D20" i="18"/>
  <c r="D10" i="18"/>
  <c r="D20" i="5"/>
  <c r="D263" i="18"/>
  <c r="D263" i="5"/>
  <c r="L154" i="4"/>
  <c r="L153" i="4" s="1"/>
  <c r="K154" i="4"/>
  <c r="K153" i="4" s="1"/>
  <c r="D153" i="4"/>
  <c r="P154" i="4"/>
  <c r="P153" i="4" s="1"/>
  <c r="F154" i="4"/>
  <c r="M154" i="4"/>
  <c r="M153" i="4" s="1"/>
  <c r="G154" i="4"/>
  <c r="G153" i="4" s="1"/>
  <c r="O154" i="4"/>
  <c r="H154" i="4"/>
  <c r="E154" i="4"/>
  <c r="I154" i="4"/>
  <c r="I153" i="4" s="1"/>
  <c r="J154" i="4"/>
  <c r="J153" i="4" s="1"/>
  <c r="N154" i="4"/>
  <c r="N153" i="4" s="1"/>
  <c r="D160" i="4"/>
  <c r="D182" i="3"/>
  <c r="D10" i="5"/>
  <c r="L37" i="9"/>
  <c r="D149" i="10" s="1"/>
  <c r="D143" i="10"/>
  <c r="D142" i="10" s="1"/>
  <c r="F21" i="10"/>
  <c r="F20" i="10"/>
  <c r="F23" i="10"/>
  <c r="F22" i="10"/>
  <c r="F10" i="10"/>
  <c r="F11" i="10"/>
  <c r="F13" i="10"/>
  <c r="F12" i="10"/>
  <c r="F43" i="10"/>
  <c r="F42" i="10"/>
  <c r="F41" i="10"/>
  <c r="F40" i="10"/>
  <c r="F32" i="10"/>
  <c r="F31" i="10"/>
  <c r="F30" i="10"/>
  <c r="F33" i="10"/>
  <c r="F52" i="10"/>
  <c r="F51" i="10"/>
  <c r="F50" i="10"/>
  <c r="F53" i="10"/>
  <c r="F63" i="10"/>
  <c r="F62" i="10"/>
  <c r="F61" i="10"/>
  <c r="F60" i="10"/>
  <c r="F83" i="10"/>
  <c r="F82" i="10"/>
  <c r="F81" i="10"/>
  <c r="F80" i="10"/>
  <c r="F79" i="10" s="1"/>
  <c r="B21" i="12" s="1"/>
  <c r="F71" i="10"/>
  <c r="F70" i="10"/>
  <c r="F72" i="10"/>
  <c r="F73" i="10"/>
  <c r="F98" i="10"/>
  <c r="F97" i="10"/>
  <c r="F96" i="10"/>
  <c r="F95" i="10"/>
  <c r="F87" i="10"/>
  <c r="F85" i="10"/>
  <c r="F86" i="10"/>
  <c r="F88" i="10"/>
  <c r="P31" i="9"/>
  <c r="Q31" i="9" s="1"/>
  <c r="D274" i="18" l="1"/>
  <c r="D274" i="5"/>
  <c r="D159" i="4"/>
  <c r="E153" i="4"/>
  <c r="F153" i="4"/>
  <c r="H153" i="4"/>
  <c r="D262" i="5"/>
  <c r="O153" i="4"/>
  <c r="D262" i="18"/>
  <c r="D166" i="4"/>
  <c r="D188" i="3"/>
  <c r="C201" i="2"/>
  <c r="D195" i="3"/>
  <c r="C194" i="2"/>
  <c r="F94" i="10"/>
  <c r="B24" i="12" s="1"/>
  <c r="F84" i="10"/>
  <c r="B22" i="12" s="1"/>
  <c r="F39" i="10"/>
  <c r="B13" i="12" s="1"/>
  <c r="F59" i="10"/>
  <c r="B17" i="12" s="1"/>
  <c r="F49" i="10"/>
  <c r="B15" i="12" s="1"/>
  <c r="F69" i="10"/>
  <c r="B19" i="12" s="1"/>
  <c r="F9" i="10"/>
  <c r="B7" i="12" s="1"/>
  <c r="F29" i="10"/>
  <c r="B11" i="12" s="1"/>
  <c r="F19" i="10"/>
  <c r="B9" i="12" s="1"/>
  <c r="F8" i="10"/>
  <c r="F7" i="10"/>
  <c r="F6" i="10"/>
  <c r="F27" i="10"/>
  <c r="F26" i="10"/>
  <c r="F25" i="10"/>
  <c r="F28" i="10"/>
  <c r="F47" i="10"/>
  <c r="F46" i="10"/>
  <c r="F45" i="10"/>
  <c r="F48" i="10"/>
  <c r="F67" i="10"/>
  <c r="F66" i="10"/>
  <c r="F65" i="10"/>
  <c r="F68" i="10"/>
  <c r="F100" i="10"/>
  <c r="H104" i="10"/>
  <c r="F101" i="10"/>
  <c r="F103" i="10"/>
  <c r="F102" i="10"/>
  <c r="D172" i="4" l="1"/>
  <c r="D194" i="3"/>
  <c r="D273" i="5"/>
  <c r="P166" i="4"/>
  <c r="P165" i="4" s="1"/>
  <c r="D284" i="5"/>
  <c r="D284" i="18"/>
  <c r="D165" i="4"/>
  <c r="G166" i="4"/>
  <c r="G165" i="4" s="1"/>
  <c r="O166" i="4"/>
  <c r="O165" i="4" s="1"/>
  <c r="E166" i="4"/>
  <c r="E165" i="4" s="1"/>
  <c r="K166" i="4"/>
  <c r="F166" i="4"/>
  <c r="N166" i="4"/>
  <c r="N165" i="4" s="1"/>
  <c r="M166" i="4"/>
  <c r="M165" i="4" s="1"/>
  <c r="J166" i="4"/>
  <c r="J165" i="4" s="1"/>
  <c r="L166" i="4"/>
  <c r="H166" i="4"/>
  <c r="I166" i="4"/>
  <c r="I165" i="4" s="1"/>
  <c r="D201" i="3"/>
  <c r="C200" i="2"/>
  <c r="D273" i="18"/>
  <c r="F99" i="10"/>
  <c r="B25" i="12" s="1"/>
  <c r="F64" i="10"/>
  <c r="B18" i="12" s="1"/>
  <c r="F44" i="10"/>
  <c r="B14" i="12" s="1"/>
  <c r="F24" i="10"/>
  <c r="B10" i="12" s="1"/>
  <c r="F4" i="10"/>
  <c r="B6" i="12" s="1"/>
  <c r="H99" i="10"/>
  <c r="F143" i="10"/>
  <c r="D283" i="18" l="1"/>
  <c r="D283" i="5"/>
  <c r="F165" i="4"/>
  <c r="K165" i="4"/>
  <c r="D178" i="4"/>
  <c r="D200" i="3"/>
  <c r="H165" i="4"/>
  <c r="L165" i="4"/>
  <c r="D294" i="18"/>
  <c r="D293" i="18" s="1"/>
  <c r="D294" i="5"/>
  <c r="H172" i="4"/>
  <c r="H171" i="4" s="1"/>
  <c r="L172" i="4"/>
  <c r="P172" i="4"/>
  <c r="M172" i="4"/>
  <c r="N172" i="4"/>
  <c r="N171" i="4" s="1"/>
  <c r="D171" i="4"/>
  <c r="E172" i="4"/>
  <c r="F172" i="4"/>
  <c r="G172" i="4"/>
  <c r="G171" i="4" s="1"/>
  <c r="I172" i="4"/>
  <c r="J172" i="4"/>
  <c r="K172" i="4"/>
  <c r="K171" i="4" s="1"/>
  <c r="O172" i="4"/>
  <c r="F142" i="10"/>
  <c r="B35" i="12"/>
  <c r="F110" i="10"/>
  <c r="F171" i="4" l="1"/>
  <c r="E171" i="4"/>
  <c r="M171" i="4"/>
  <c r="D304" i="18"/>
  <c r="D304" i="5"/>
  <c r="I178" i="4"/>
  <c r="I177" i="4" s="1"/>
  <c r="H178" i="4"/>
  <c r="H177" i="4" s="1"/>
  <c r="G178" i="4"/>
  <c r="G177" i="4" s="1"/>
  <c r="M178" i="4"/>
  <c r="N178" i="4"/>
  <c r="N177" i="4" s="1"/>
  <c r="O178" i="4"/>
  <c r="O177" i="4" s="1"/>
  <c r="P178" i="4"/>
  <c r="L178" i="4"/>
  <c r="D177" i="4"/>
  <c r="K178" i="4"/>
  <c r="J178" i="4"/>
  <c r="F178" i="4"/>
  <c r="E178" i="4"/>
  <c r="E177" i="4" s="1"/>
  <c r="O171" i="4"/>
  <c r="P171" i="4"/>
  <c r="L171" i="4"/>
  <c r="I171" i="4"/>
  <c r="D293" i="5"/>
  <c r="J171" i="4"/>
  <c r="F115" i="10"/>
  <c r="F134" i="10"/>
  <c r="F111" i="10"/>
  <c r="I59" i="8"/>
  <c r="H59" i="8"/>
  <c r="G59" i="8"/>
  <c r="F59" i="8"/>
  <c r="E59" i="8"/>
  <c r="D59" i="8"/>
  <c r="C59" i="8"/>
  <c r="B59" i="8"/>
  <c r="I51" i="8"/>
  <c r="H51" i="8"/>
  <c r="G51" i="8"/>
  <c r="F51" i="8"/>
  <c r="E51" i="8"/>
  <c r="D51" i="8"/>
  <c r="C51" i="8"/>
  <c r="B51" i="8"/>
  <c r="I35" i="8"/>
  <c r="H35" i="8"/>
  <c r="G35" i="8"/>
  <c r="F35" i="8"/>
  <c r="E35" i="8"/>
  <c r="D35" i="8"/>
  <c r="C35" i="8"/>
  <c r="B35" i="8"/>
  <c r="I31" i="8"/>
  <c r="H31" i="8"/>
  <c r="G31" i="8"/>
  <c r="F31" i="8"/>
  <c r="E31" i="8"/>
  <c r="D31" i="8"/>
  <c r="C31" i="8"/>
  <c r="B31" i="8"/>
  <c r="J19" i="8"/>
  <c r="K19" i="8"/>
  <c r="J15" i="8"/>
  <c r="K15" i="8"/>
  <c r="M177" i="4" l="1"/>
  <c r="F177" i="4"/>
  <c r="P177" i="4"/>
  <c r="J177" i="4"/>
  <c r="D303" i="5"/>
  <c r="K177" i="4"/>
  <c r="D303" i="18"/>
  <c r="L177" i="4"/>
  <c r="F131" i="10"/>
  <c r="F118" i="10"/>
  <c r="F117" i="10"/>
  <c r="F116" i="10"/>
  <c r="F112" i="10"/>
  <c r="F105" i="10"/>
  <c r="F106" i="10"/>
  <c r="F107" i="10"/>
  <c r="F108" i="10"/>
  <c r="I27" i="8"/>
  <c r="H27" i="8"/>
  <c r="G27" i="8"/>
  <c r="F27" i="8"/>
  <c r="E27" i="8"/>
  <c r="D27" i="8"/>
  <c r="C27" i="8"/>
  <c r="B27" i="8"/>
  <c r="I23" i="8"/>
  <c r="H23" i="8"/>
  <c r="G23" i="8"/>
  <c r="F23" i="8"/>
  <c r="E23" i="8"/>
  <c r="D23" i="8"/>
  <c r="C23" i="8"/>
  <c r="B23" i="8"/>
  <c r="I19" i="8"/>
  <c r="H19" i="8"/>
  <c r="G19" i="8"/>
  <c r="F19" i="8"/>
  <c r="E19" i="8"/>
  <c r="D19" i="8"/>
  <c r="C19" i="8"/>
  <c r="B19" i="8"/>
  <c r="B31" i="12" l="1"/>
  <c r="F104" i="10"/>
  <c r="B26" i="12" s="1"/>
  <c r="F114" i="10"/>
  <c r="B28" i="12" s="1"/>
  <c r="F113" i="10"/>
  <c r="F109" i="10" s="1"/>
  <c r="B27" i="12" l="1"/>
  <c r="B5" i="12" s="1"/>
  <c r="C7" i="16"/>
  <c r="C8" i="16" s="1"/>
  <c r="A73" i="2" l="1"/>
  <c r="D17" i="1"/>
  <c r="D165" i="2" l="1"/>
  <c r="D164" i="2" s="1"/>
  <c r="L165" i="2"/>
  <c r="L164" i="2" s="1"/>
  <c r="H165" i="2"/>
  <c r="H164" i="2" s="1"/>
  <c r="O165" i="2"/>
  <c r="O164" i="2" s="1"/>
  <c r="J165" i="2"/>
  <c r="J164" i="2" s="1"/>
  <c r="K165" i="2"/>
  <c r="K164" i="2" s="1"/>
  <c r="F165" i="2"/>
  <c r="F164" i="2" s="1"/>
  <c r="I165" i="2"/>
  <c r="I164" i="2" s="1"/>
  <c r="G165" i="2"/>
  <c r="G164" i="2" s="1"/>
  <c r="N165" i="2"/>
  <c r="N164" i="2" s="1"/>
  <c r="M165" i="2"/>
  <c r="M164" i="2" s="1"/>
  <c r="E165" i="2"/>
  <c r="E164" i="2" s="1"/>
  <c r="A9" i="5"/>
  <c r="A7" i="4"/>
  <c r="A73" i="3"/>
  <c r="E177" i="2"/>
  <c r="N177" i="2"/>
  <c r="L177" i="2"/>
  <c r="M177" i="2"/>
  <c r="F177" i="2"/>
  <c r="D177" i="2"/>
  <c r="I177" i="2"/>
  <c r="G177" i="2"/>
  <c r="O177" i="2"/>
  <c r="J177" i="2"/>
  <c r="H177" i="2"/>
  <c r="K177" i="2"/>
  <c r="N126" i="2"/>
  <c r="O126" i="3" s="1"/>
  <c r="J125" i="2"/>
  <c r="K125" i="3" s="1"/>
  <c r="I118" i="2"/>
  <c r="J118" i="3" s="1"/>
  <c r="O116" i="2"/>
  <c r="P116" i="3" s="1"/>
  <c r="K115" i="2"/>
  <c r="L115" i="3" s="1"/>
  <c r="I114" i="2"/>
  <c r="J114" i="3" s="1"/>
  <c r="J129" i="2"/>
  <c r="K129" i="3" s="1"/>
  <c r="F115" i="2"/>
  <c r="G115" i="3" s="1"/>
  <c r="J124" i="2"/>
  <c r="K124" i="3" s="1"/>
  <c r="G114" i="2"/>
  <c r="H114" i="3" s="1"/>
  <c r="L124" i="2"/>
  <c r="M124" i="3" s="1"/>
  <c r="F113" i="2"/>
  <c r="G113" i="3" s="1"/>
  <c r="L116" i="2"/>
  <c r="M116" i="3" s="1"/>
  <c r="L126" i="2"/>
  <c r="M126" i="3" s="1"/>
  <c r="F117" i="2"/>
  <c r="G117" i="3" s="1"/>
  <c r="E126" i="2"/>
  <c r="F126" i="3" s="1"/>
  <c r="M125" i="2"/>
  <c r="N125" i="3" s="1"/>
  <c r="L118" i="2"/>
  <c r="M118" i="3" s="1"/>
  <c r="F116" i="2"/>
  <c r="G116" i="3" s="1"/>
  <c r="N115" i="2"/>
  <c r="O115" i="3" s="1"/>
  <c r="L114" i="2"/>
  <c r="M114" i="3" s="1"/>
  <c r="J116" i="2"/>
  <c r="K116" i="3" s="1"/>
  <c r="G125" i="2"/>
  <c r="H125" i="3" s="1"/>
  <c r="H115" i="2"/>
  <c r="I115" i="3" s="1"/>
  <c r="G118" i="2"/>
  <c r="H118" i="3" s="1"/>
  <c r="E113" i="2"/>
  <c r="F113" i="3" s="1"/>
  <c r="M117" i="2"/>
  <c r="N117" i="3" s="1"/>
  <c r="F118" i="2"/>
  <c r="G118" i="3" s="1"/>
  <c r="I115" i="2"/>
  <c r="J115" i="3" s="1"/>
  <c r="I125" i="2"/>
  <c r="J125" i="3" s="1"/>
  <c r="H114" i="2"/>
  <c r="I114" i="3" s="1"/>
  <c r="K124" i="2"/>
  <c r="L124" i="3" s="1"/>
  <c r="M116" i="2"/>
  <c r="N116" i="3" s="1"/>
  <c r="M126" i="2"/>
  <c r="N126" i="3" s="1"/>
  <c r="E141" i="2"/>
  <c r="F141" i="3" s="1"/>
  <c r="E125" i="2"/>
  <c r="F125" i="3" s="1"/>
  <c r="N127" i="2"/>
  <c r="O127" i="3" s="1"/>
  <c r="F114" i="2"/>
  <c r="G114" i="3" s="1"/>
  <c r="J115" i="2"/>
  <c r="K115" i="3" s="1"/>
  <c r="K126" i="2"/>
  <c r="L126" i="3" s="1"/>
  <c r="D125" i="2"/>
  <c r="E125" i="3" s="1"/>
  <c r="O117" i="2"/>
  <c r="P117" i="3" s="1"/>
  <c r="H118" i="2"/>
  <c r="I118" i="3" s="1"/>
  <c r="D141" i="2"/>
  <c r="E141" i="3" s="1"/>
  <c r="O127" i="2"/>
  <c r="P127" i="3" s="1"/>
  <c r="H125" i="2"/>
  <c r="I125" i="3" s="1"/>
  <c r="D118" i="2"/>
  <c r="E118" i="3" s="1"/>
  <c r="N116" i="2"/>
  <c r="O116" i="3" s="1"/>
  <c r="F56" i="2"/>
  <c r="G56" i="3" s="1"/>
  <c r="E117" i="2"/>
  <c r="F117" i="3" s="1"/>
  <c r="G113" i="2"/>
  <c r="H113" i="3" s="1"/>
  <c r="E118" i="2"/>
  <c r="F118" i="3" s="1"/>
  <c r="L127" i="2"/>
  <c r="M127" i="3" s="1"/>
  <c r="E115" i="2"/>
  <c r="F115" i="3" s="1"/>
  <c r="N113" i="2"/>
  <c r="O113" i="3" s="1"/>
  <c r="I127" i="2"/>
  <c r="J127" i="3" s="1"/>
  <c r="K114" i="2"/>
  <c r="L114" i="3" s="1"/>
  <c r="M129" i="2"/>
  <c r="N129" i="3" s="1"/>
  <c r="L129" i="2"/>
  <c r="M129" i="3" s="1"/>
  <c r="M115" i="2"/>
  <c r="N115" i="3" s="1"/>
  <c r="D128" i="2"/>
  <c r="E128" i="3" s="1"/>
  <c r="K117" i="2"/>
  <c r="L117" i="3" s="1"/>
  <c r="F128" i="2"/>
  <c r="G128" i="3" s="1"/>
  <c r="K125" i="2"/>
  <c r="L125" i="3" s="1"/>
  <c r="F129" i="2"/>
  <c r="G129" i="3" s="1"/>
  <c r="N118" i="2"/>
  <c r="O118" i="3" s="1"/>
  <c r="J113" i="2"/>
  <c r="K113" i="3" s="1"/>
  <c r="D113" i="2"/>
  <c r="E113" i="3" s="1"/>
  <c r="E114" i="2"/>
  <c r="F114" i="3" s="1"/>
  <c r="G128" i="2"/>
  <c r="H128" i="3" s="1"/>
  <c r="L113" i="2"/>
  <c r="M113" i="3" s="1"/>
  <c r="F124" i="2"/>
  <c r="G124" i="3" s="1"/>
  <c r="K129" i="2"/>
  <c r="L129" i="3" s="1"/>
  <c r="O118" i="2"/>
  <c r="P118" i="3" s="1"/>
  <c r="I113" i="2"/>
  <c r="J113" i="3" s="1"/>
  <c r="L115" i="2"/>
  <c r="M115" i="3" s="1"/>
  <c r="J114" i="2"/>
  <c r="K114" i="3" s="1"/>
  <c r="O128" i="2"/>
  <c r="P128" i="3" s="1"/>
  <c r="D124" i="2"/>
  <c r="E124" i="3" s="1"/>
  <c r="H116" i="2"/>
  <c r="I116" i="3" s="1"/>
  <c r="K113" i="2"/>
  <c r="L113" i="3" s="1"/>
  <c r="L128" i="2"/>
  <c r="M128" i="3" s="1"/>
  <c r="G124" i="2"/>
  <c r="H124" i="3" s="1"/>
  <c r="J118" i="2"/>
  <c r="K118" i="3" s="1"/>
  <c r="F141" i="2"/>
  <c r="G141" i="3" s="1"/>
  <c r="F125" i="2"/>
  <c r="G125" i="3" s="1"/>
  <c r="E124" i="2"/>
  <c r="F124" i="3" s="1"/>
  <c r="M114" i="2"/>
  <c r="N114" i="3" s="1"/>
  <c r="O129" i="2"/>
  <c r="P129" i="3" s="1"/>
  <c r="I129" i="2"/>
  <c r="J129" i="3" s="1"/>
  <c r="I124" i="2"/>
  <c r="J124" i="3" s="1"/>
  <c r="H126" i="2"/>
  <c r="I126" i="3" s="1"/>
  <c r="O115" i="2"/>
  <c r="P115" i="3" s="1"/>
  <c r="E116" i="2"/>
  <c r="F116" i="3" s="1"/>
  <c r="J127" i="2"/>
  <c r="K127" i="3" s="1"/>
  <c r="N124" i="2"/>
  <c r="O124" i="3" s="1"/>
  <c r="I116" i="2"/>
  <c r="J116" i="3" s="1"/>
  <c r="L117" i="2"/>
  <c r="M117" i="3" s="1"/>
  <c r="F127" i="2"/>
  <c r="G127" i="3" s="1"/>
  <c r="O126" i="2"/>
  <c r="P126" i="3" s="1"/>
  <c r="E128" i="2"/>
  <c r="F128" i="3" s="1"/>
  <c r="J126" i="2"/>
  <c r="K126" i="3" s="1"/>
  <c r="D142" i="2"/>
  <c r="E142" i="3" s="1"/>
  <c r="K127" i="2"/>
  <c r="L127" i="3" s="1"/>
  <c r="O125" i="2"/>
  <c r="P125" i="3" s="1"/>
  <c r="D116" i="2"/>
  <c r="E116" i="3" s="1"/>
  <c r="I117" i="2"/>
  <c r="J117" i="3" s="1"/>
  <c r="H117" i="2"/>
  <c r="I117" i="3" s="1"/>
  <c r="D114" i="2"/>
  <c r="E114" i="3" s="1"/>
  <c r="D115" i="2"/>
  <c r="E115" i="3" s="1"/>
  <c r="E129" i="2"/>
  <c r="F129" i="3" s="1"/>
  <c r="O124" i="2"/>
  <c r="P124" i="3" s="1"/>
  <c r="M124" i="2"/>
  <c r="N124" i="3" s="1"/>
  <c r="N125" i="2"/>
  <c r="O125" i="3" s="1"/>
  <c r="N117" i="2"/>
  <c r="O117" i="3" s="1"/>
  <c r="G127" i="2"/>
  <c r="H127" i="3" s="1"/>
  <c r="I126" i="2"/>
  <c r="J126" i="3" s="1"/>
  <c r="F126" i="2"/>
  <c r="G126" i="3" s="1"/>
  <c r="O113" i="2"/>
  <c r="P113" i="3" s="1"/>
  <c r="M127" i="2"/>
  <c r="N127" i="3" s="1"/>
  <c r="M113" i="2"/>
  <c r="N113" i="3" s="1"/>
  <c r="N128" i="2"/>
  <c r="O128" i="3" s="1"/>
  <c r="G116" i="2"/>
  <c r="H116" i="3" s="1"/>
  <c r="K118" i="2"/>
  <c r="L118" i="3" s="1"/>
  <c r="H113" i="2"/>
  <c r="I113" i="3" s="1"/>
  <c r="H128" i="2"/>
  <c r="I128" i="3" s="1"/>
  <c r="M118" i="2"/>
  <c r="N118" i="3" s="1"/>
  <c r="E127" i="2"/>
  <c r="F127" i="3" s="1"/>
  <c r="E142" i="2"/>
  <c r="F142" i="3" s="1"/>
  <c r="J128" i="2"/>
  <c r="K128" i="3" s="1"/>
  <c r="O114" i="2"/>
  <c r="P114" i="3" s="1"/>
  <c r="D126" i="2"/>
  <c r="E126" i="3" s="1"/>
  <c r="J117" i="2"/>
  <c r="K117" i="3" s="1"/>
  <c r="H127" i="2"/>
  <c r="I127" i="3" s="1"/>
  <c r="L125" i="2"/>
  <c r="M125" i="3" s="1"/>
  <c r="D117" i="2"/>
  <c r="E117" i="3" s="1"/>
  <c r="D129" i="2"/>
  <c r="E129" i="3" s="1"/>
  <c r="G126" i="2"/>
  <c r="H126" i="3" s="1"/>
  <c r="K128" i="2"/>
  <c r="L128" i="3" s="1"/>
  <c r="G117" i="2"/>
  <c r="H117" i="3" s="1"/>
  <c r="G115" i="2"/>
  <c r="H115" i="3" s="1"/>
  <c r="G129" i="2"/>
  <c r="H129" i="3" s="1"/>
  <c r="H129" i="2"/>
  <c r="I129" i="3" s="1"/>
  <c r="N129" i="2"/>
  <c r="O129" i="3" s="1"/>
  <c r="K116" i="2"/>
  <c r="L116" i="3" s="1"/>
  <c r="M128" i="2"/>
  <c r="N128" i="3" s="1"/>
  <c r="D127" i="2"/>
  <c r="E127" i="3" s="1"/>
  <c r="H124" i="2"/>
  <c r="I124" i="3" s="1"/>
  <c r="N114" i="2"/>
  <c r="O114" i="3" s="1"/>
  <c r="I128" i="2"/>
  <c r="J128" i="3" s="1"/>
  <c r="J151" i="2"/>
  <c r="K151" i="3" s="1"/>
  <c r="I151" i="2"/>
  <c r="J151" i="3" s="1"/>
  <c r="L149" i="2"/>
  <c r="M149" i="3" s="1"/>
  <c r="G150" i="2"/>
  <c r="H150" i="3" s="1"/>
  <c r="E153" i="2"/>
  <c r="F153" i="3" s="1"/>
  <c r="M153" i="2"/>
  <c r="N153" i="3" s="1"/>
  <c r="M151" i="2"/>
  <c r="N151" i="3" s="1"/>
  <c r="E149" i="2"/>
  <c r="F149" i="3" s="1"/>
  <c r="M149" i="2"/>
  <c r="N149" i="3" s="1"/>
  <c r="M150" i="2"/>
  <c r="N150" i="3" s="1"/>
  <c r="F152" i="2"/>
  <c r="G152" i="3" s="1"/>
  <c r="N153" i="2"/>
  <c r="O153" i="3" s="1"/>
  <c r="N151" i="2"/>
  <c r="O151" i="3" s="1"/>
  <c r="N149" i="2"/>
  <c r="O149" i="3" s="1"/>
  <c r="N150" i="2"/>
  <c r="O150" i="3" s="1"/>
  <c r="F153" i="2"/>
  <c r="G153" i="3" s="1"/>
  <c r="O153" i="2"/>
  <c r="P153" i="3" s="1"/>
  <c r="N152" i="2"/>
  <c r="O152" i="3" s="1"/>
  <c r="I149" i="2"/>
  <c r="J149" i="3" s="1"/>
  <c r="I153" i="2"/>
  <c r="J153" i="3" s="1"/>
  <c r="J149" i="2"/>
  <c r="K149" i="3" s="1"/>
  <c r="O152" i="2"/>
  <c r="P152" i="3" s="1"/>
  <c r="K151" i="2"/>
  <c r="L151" i="3" s="1"/>
  <c r="F57" i="2"/>
  <c r="G57" i="3" s="1"/>
  <c r="O151" i="2"/>
  <c r="P151" i="3" s="1"/>
  <c r="F149" i="2"/>
  <c r="G149" i="3" s="1"/>
  <c r="O149" i="2"/>
  <c r="P149" i="3" s="1"/>
  <c r="O150" i="2"/>
  <c r="P150" i="3" s="1"/>
  <c r="G152" i="2"/>
  <c r="H152" i="3" s="1"/>
  <c r="M152" i="2"/>
  <c r="N152" i="3" s="1"/>
  <c r="J150" i="2"/>
  <c r="K150" i="3" s="1"/>
  <c r="K152" i="2"/>
  <c r="L152" i="3" s="1"/>
  <c r="D150" i="2"/>
  <c r="E150" i="3" s="1"/>
  <c r="J153" i="2"/>
  <c r="K153" i="3" s="1"/>
  <c r="K149" i="2"/>
  <c r="L149" i="3" s="1"/>
  <c r="E152" i="2"/>
  <c r="F152" i="3" s="1"/>
  <c r="H151" i="2"/>
  <c r="I151" i="3" s="1"/>
  <c r="H150" i="2"/>
  <c r="I150" i="3" s="1"/>
  <c r="D152" i="2"/>
  <c r="E152" i="3" s="1"/>
  <c r="G153" i="2"/>
  <c r="H153" i="3" s="1"/>
  <c r="H153" i="2"/>
  <c r="I153" i="3" s="1"/>
  <c r="H149" i="2"/>
  <c r="I149" i="3" s="1"/>
  <c r="E150" i="2"/>
  <c r="F150" i="3" s="1"/>
  <c r="K150" i="2"/>
  <c r="L150" i="3" s="1"/>
  <c r="D151" i="2"/>
  <c r="E151" i="3" s="1"/>
  <c r="L153" i="2"/>
  <c r="M153" i="3" s="1"/>
  <c r="G149" i="2"/>
  <c r="H149" i="3" s="1"/>
  <c r="I150" i="2"/>
  <c r="J150" i="3" s="1"/>
  <c r="F150" i="2"/>
  <c r="G150" i="3" s="1"/>
  <c r="H152" i="2"/>
  <c r="I152" i="3" s="1"/>
  <c r="D153" i="2"/>
  <c r="E153" i="3" s="1"/>
  <c r="E151" i="2"/>
  <c r="F151" i="3" s="1"/>
  <c r="D149" i="2"/>
  <c r="E149" i="3" s="1"/>
  <c r="I152" i="2"/>
  <c r="J152" i="3" s="1"/>
  <c r="F151" i="2"/>
  <c r="G151" i="3" s="1"/>
  <c r="J152" i="2"/>
  <c r="K152" i="3" s="1"/>
  <c r="L152" i="2"/>
  <c r="M152" i="3" s="1"/>
  <c r="G151" i="2"/>
  <c r="H151" i="3" s="1"/>
  <c r="K153" i="2"/>
  <c r="L153" i="3" s="1"/>
  <c r="L151" i="2"/>
  <c r="M151" i="3" s="1"/>
  <c r="L150" i="2"/>
  <c r="M150" i="3" s="1"/>
  <c r="M148" i="2"/>
  <c r="N148" i="3" s="1"/>
  <c r="N148" i="2"/>
  <c r="O148" i="3" s="1"/>
  <c r="K148" i="2"/>
  <c r="L148" i="3" s="1"/>
  <c r="O148" i="2"/>
  <c r="P148" i="3" s="1"/>
  <c r="L148" i="2"/>
  <c r="M148" i="3" s="1"/>
  <c r="E148" i="2"/>
  <c r="F148" i="3" s="1"/>
  <c r="J148" i="2"/>
  <c r="K148" i="3" s="1"/>
  <c r="D148" i="2"/>
  <c r="E148" i="3" s="1"/>
  <c r="F148" i="2"/>
  <c r="G148" i="3" s="1"/>
  <c r="H148" i="2"/>
  <c r="I148" i="3" s="1"/>
  <c r="I148" i="2"/>
  <c r="J148" i="3" s="1"/>
  <c r="G148" i="2"/>
  <c r="H148" i="3" s="1"/>
  <c r="L67" i="2"/>
  <c r="M67" i="3" s="1"/>
  <c r="L70" i="2"/>
  <c r="M70" i="3" s="1"/>
  <c r="I69" i="2"/>
  <c r="J69" i="3" s="1"/>
  <c r="O67" i="2"/>
  <c r="P67" i="3" s="1"/>
  <c r="N70" i="2"/>
  <c r="O70" i="3" s="1"/>
  <c r="K69" i="2"/>
  <c r="L69" i="3" s="1"/>
  <c r="E67" i="2"/>
  <c r="F67" i="3" s="1"/>
  <c r="D79" i="2"/>
  <c r="E79" i="3" s="1"/>
  <c r="H70" i="2"/>
  <c r="I70" i="3" s="1"/>
  <c r="O68" i="2"/>
  <c r="P68" i="3" s="1"/>
  <c r="E69" i="2"/>
  <c r="F69" i="3" s="1"/>
  <c r="K67" i="2"/>
  <c r="L67" i="3" s="1"/>
  <c r="I70" i="2"/>
  <c r="J70" i="3" s="1"/>
  <c r="I66" i="2"/>
  <c r="J66" i="3" s="1"/>
  <c r="F69" i="2"/>
  <c r="G69" i="3" s="1"/>
  <c r="D70" i="2"/>
  <c r="E70" i="3" s="1"/>
  <c r="H66" i="2"/>
  <c r="I66" i="3" s="1"/>
  <c r="G67" i="2"/>
  <c r="H67" i="3" s="1"/>
  <c r="N71" i="2"/>
  <c r="O71" i="3" s="1"/>
  <c r="J70" i="2"/>
  <c r="K70" i="3" s="1"/>
  <c r="G70" i="2"/>
  <c r="H70" i="3" s="1"/>
  <c r="J68" i="2"/>
  <c r="K68" i="3" s="1"/>
  <c r="F71" i="2"/>
  <c r="G71" i="3" s="1"/>
  <c r="D69" i="2"/>
  <c r="E69" i="3" s="1"/>
  <c r="K68" i="2"/>
  <c r="L68" i="3" s="1"/>
  <c r="O71" i="2"/>
  <c r="P71" i="3" s="1"/>
  <c r="E68" i="2"/>
  <c r="F68" i="3" s="1"/>
  <c r="L69" i="2"/>
  <c r="M69" i="3" s="1"/>
  <c r="I71" i="2"/>
  <c r="J71" i="3" s="1"/>
  <c r="M67" i="2"/>
  <c r="N67" i="3" s="1"/>
  <c r="J71" i="2"/>
  <c r="K71" i="3" s="1"/>
  <c r="G66" i="2"/>
  <c r="H66" i="3" s="1"/>
  <c r="M69" i="2"/>
  <c r="N69" i="3" s="1"/>
  <c r="N66" i="2"/>
  <c r="O66" i="3" s="1"/>
  <c r="L66" i="2"/>
  <c r="M66" i="3" s="1"/>
  <c r="G68" i="2"/>
  <c r="H68" i="3" s="1"/>
  <c r="G69" i="2"/>
  <c r="H69" i="3" s="1"/>
  <c r="K71" i="2"/>
  <c r="L71" i="3" s="1"/>
  <c r="H67" i="2"/>
  <c r="I67" i="3" s="1"/>
  <c r="H68" i="2"/>
  <c r="I68" i="3" s="1"/>
  <c r="M71" i="2"/>
  <c r="N71" i="3" s="1"/>
  <c r="D71" i="2"/>
  <c r="E71" i="3" s="1"/>
  <c r="F68" i="2"/>
  <c r="G68" i="3" s="1"/>
  <c r="I68" i="2"/>
  <c r="J68" i="3" s="1"/>
  <c r="M68" i="2"/>
  <c r="N68" i="3" s="1"/>
  <c r="J69" i="2"/>
  <c r="K69" i="3" s="1"/>
  <c r="M70" i="2"/>
  <c r="N70" i="3" s="1"/>
  <c r="J66" i="2"/>
  <c r="K66" i="3" s="1"/>
  <c r="F66" i="2"/>
  <c r="G66" i="3" s="1"/>
  <c r="N69" i="2"/>
  <c r="O69" i="3" s="1"/>
  <c r="G71" i="2"/>
  <c r="H71" i="3" s="1"/>
  <c r="E71" i="2"/>
  <c r="F71" i="3" s="1"/>
  <c r="H69" i="2"/>
  <c r="I69" i="3" s="1"/>
  <c r="D67" i="2"/>
  <c r="E67" i="3" s="1"/>
  <c r="N68" i="2"/>
  <c r="O68" i="3" s="1"/>
  <c r="I67" i="2"/>
  <c r="J67" i="3" s="1"/>
  <c r="O66" i="2"/>
  <c r="P66" i="3" s="1"/>
  <c r="M66" i="2"/>
  <c r="N66" i="3" s="1"/>
  <c r="K66" i="2"/>
  <c r="L66" i="3" s="1"/>
  <c r="F70" i="2"/>
  <c r="G70" i="3" s="1"/>
  <c r="D66" i="2"/>
  <c r="E66" i="3" s="1"/>
  <c r="L68" i="2"/>
  <c r="M68" i="3" s="1"/>
  <c r="E70" i="2"/>
  <c r="F70" i="3" s="1"/>
  <c r="N67" i="2"/>
  <c r="O67" i="3" s="1"/>
  <c r="J67" i="2"/>
  <c r="K67" i="3" s="1"/>
  <c r="O70" i="2"/>
  <c r="P70" i="3" s="1"/>
  <c r="E66" i="2"/>
  <c r="F66" i="3" s="1"/>
  <c r="O69" i="2"/>
  <c r="P69" i="3" s="1"/>
  <c r="H71" i="2"/>
  <c r="I71" i="3" s="1"/>
  <c r="F67" i="2"/>
  <c r="G67" i="3" s="1"/>
  <c r="D68" i="2"/>
  <c r="E68" i="3" s="1"/>
  <c r="L71" i="2"/>
  <c r="M71" i="3" s="1"/>
  <c r="K70" i="2"/>
  <c r="L70" i="3" s="1"/>
  <c r="F79" i="2"/>
  <c r="G79" i="3" s="1"/>
  <c r="G79" i="2"/>
  <c r="H79" i="3" s="1"/>
  <c r="H79" i="2"/>
  <c r="I79" i="3" s="1"/>
  <c r="H81" i="2"/>
  <c r="I81" i="3" s="1"/>
  <c r="E171" i="2"/>
  <c r="F171" i="3" s="1"/>
  <c r="F170" i="3" s="1"/>
  <c r="F171" i="2"/>
  <c r="G171" i="3" s="1"/>
  <c r="G170" i="3" s="1"/>
  <c r="O171" i="2"/>
  <c r="P171" i="3" s="1"/>
  <c r="P170" i="3" s="1"/>
  <c r="L171" i="2"/>
  <c r="M171" i="3" s="1"/>
  <c r="M170" i="3" s="1"/>
  <c r="K171" i="2"/>
  <c r="L171" i="3" s="1"/>
  <c r="L170" i="3" s="1"/>
  <c r="G171" i="2"/>
  <c r="H171" i="3" s="1"/>
  <c r="H170" i="3" s="1"/>
  <c r="D171" i="2"/>
  <c r="M171" i="2"/>
  <c r="N171" i="3" s="1"/>
  <c r="N170" i="3" s="1"/>
  <c r="H171" i="2"/>
  <c r="I171" i="3" s="1"/>
  <c r="I170" i="3" s="1"/>
  <c r="N171" i="2"/>
  <c r="O171" i="3" s="1"/>
  <c r="O170" i="3" s="1"/>
  <c r="J171" i="2"/>
  <c r="K171" i="3" s="1"/>
  <c r="K170" i="3" s="1"/>
  <c r="I171" i="2"/>
  <c r="J171" i="3" s="1"/>
  <c r="J170" i="3" s="1"/>
  <c r="C22" i="1"/>
  <c r="C25" i="1"/>
  <c r="C24" i="1"/>
  <c r="C28" i="1"/>
  <c r="C29" i="1"/>
  <c r="C27" i="1"/>
  <c r="C26" i="1"/>
  <c r="C23" i="1"/>
  <c r="N141" i="2"/>
  <c r="O141" i="3" s="1"/>
  <c r="K135" i="2"/>
  <c r="G135" i="2"/>
  <c r="L93" i="2"/>
  <c r="M93" i="3" s="1"/>
  <c r="E91" i="2"/>
  <c r="F91" i="3" s="1"/>
  <c r="E93" i="2"/>
  <c r="F93" i="3" s="1"/>
  <c r="H106" i="2"/>
  <c r="I106" i="3" s="1"/>
  <c r="D93" i="2"/>
  <c r="E93" i="3" s="1"/>
  <c r="J104" i="2"/>
  <c r="K104" i="3" s="1"/>
  <c r="F91" i="2"/>
  <c r="G91" i="3" s="1"/>
  <c r="L106" i="2"/>
  <c r="M106" i="3" s="1"/>
  <c r="D95" i="2"/>
  <c r="E95" i="3" s="1"/>
  <c r="J107" i="2"/>
  <c r="K107" i="3" s="1"/>
  <c r="G96" i="2"/>
  <c r="H96" i="3" s="1"/>
  <c r="G92" i="2"/>
  <c r="H92" i="3" s="1"/>
  <c r="E104" i="2"/>
  <c r="F104" i="3" s="1"/>
  <c r="G102" i="2"/>
  <c r="H102" i="3" s="1"/>
  <c r="O81" i="2"/>
  <c r="P81" i="3" s="1"/>
  <c r="F80" i="2"/>
  <c r="G80" i="3" s="1"/>
  <c r="I81" i="2"/>
  <c r="J81" i="3" s="1"/>
  <c r="I84" i="2"/>
  <c r="J84" i="3" s="1"/>
  <c r="K80" i="2"/>
  <c r="L80" i="3" s="1"/>
  <c r="E81" i="2"/>
  <c r="F81" i="3" s="1"/>
  <c r="N57" i="2"/>
  <c r="O57" i="3" s="1"/>
  <c r="K59" i="2"/>
  <c r="L59" i="3" s="1"/>
  <c r="M58" i="2"/>
  <c r="N58" i="3" s="1"/>
  <c r="J58" i="2"/>
  <c r="K58" i="3" s="1"/>
  <c r="H58" i="2"/>
  <c r="I58" i="3" s="1"/>
  <c r="H49" i="2"/>
  <c r="I49" i="3" s="1"/>
  <c r="M45" i="2"/>
  <c r="N45" i="3" s="1"/>
  <c r="G50" i="2"/>
  <c r="H50" i="3" s="1"/>
  <c r="L50" i="2"/>
  <c r="M50" i="3" s="1"/>
  <c r="D49" i="2"/>
  <c r="E49" i="3" s="1"/>
  <c r="E46" i="2"/>
  <c r="F46" i="3" s="1"/>
  <c r="M48" i="2"/>
  <c r="N48" i="3" s="1"/>
  <c r="E50" i="2"/>
  <c r="F50" i="3" s="1"/>
  <c r="I135" i="2"/>
  <c r="G105" i="2"/>
  <c r="H105" i="3" s="1"/>
  <c r="J92" i="2"/>
  <c r="K92" i="3" s="1"/>
  <c r="H104" i="2"/>
  <c r="I104" i="3" s="1"/>
  <c r="E107" i="2"/>
  <c r="F107" i="3" s="1"/>
  <c r="E80" i="2"/>
  <c r="F80" i="3" s="1"/>
  <c r="F59" i="2"/>
  <c r="G59" i="3" s="1"/>
  <c r="L46" i="2"/>
  <c r="M46" i="3" s="1"/>
  <c r="H142" i="2"/>
  <c r="I142" i="3" s="1"/>
  <c r="F135" i="2"/>
  <c r="L104" i="2"/>
  <c r="M104" i="3" s="1"/>
  <c r="G107" i="2"/>
  <c r="H107" i="3" s="1"/>
  <c r="M92" i="2"/>
  <c r="N92" i="3" s="1"/>
  <c r="I104" i="2"/>
  <c r="J104" i="3" s="1"/>
  <c r="K93" i="2"/>
  <c r="L93" i="3" s="1"/>
  <c r="M94" i="2"/>
  <c r="N94" i="3" s="1"/>
  <c r="D107" i="2"/>
  <c r="E107" i="3" s="1"/>
  <c r="K95" i="2"/>
  <c r="L95" i="3" s="1"/>
  <c r="K92" i="2"/>
  <c r="L92" i="3" s="1"/>
  <c r="N93" i="2"/>
  <c r="O93" i="3" s="1"/>
  <c r="K105" i="2"/>
  <c r="L105" i="3" s="1"/>
  <c r="N96" i="2"/>
  <c r="O96" i="3" s="1"/>
  <c r="E84" i="2"/>
  <c r="F84" i="3" s="1"/>
  <c r="L80" i="2"/>
  <c r="M80" i="3" s="1"/>
  <c r="H80" i="2"/>
  <c r="I80" i="3" s="1"/>
  <c r="J81" i="2"/>
  <c r="K81" i="3" s="1"/>
  <c r="K82" i="2"/>
  <c r="L82" i="3" s="1"/>
  <c r="E83" i="2"/>
  <c r="F83" i="3" s="1"/>
  <c r="N84" i="2"/>
  <c r="O84" i="3" s="1"/>
  <c r="G58" i="2"/>
  <c r="H58" i="3" s="1"/>
  <c r="M60" i="2"/>
  <c r="N60" i="3" s="1"/>
  <c r="E59" i="2"/>
  <c r="F59" i="3" s="1"/>
  <c r="G59" i="2"/>
  <c r="H59" i="3" s="1"/>
  <c r="D45" i="2"/>
  <c r="E45" i="3" s="1"/>
  <c r="H45" i="2"/>
  <c r="I45" i="3" s="1"/>
  <c r="J46" i="2"/>
  <c r="K46" i="3" s="1"/>
  <c r="G44" i="2"/>
  <c r="H44" i="3" s="1"/>
  <c r="J47" i="2"/>
  <c r="K47" i="3" s="1"/>
  <c r="I47" i="2"/>
  <c r="J47" i="3" s="1"/>
  <c r="K60" i="2"/>
  <c r="L60" i="3" s="1"/>
  <c r="I46" i="2"/>
  <c r="J46" i="3" s="1"/>
  <c r="M82" i="2"/>
  <c r="N82" i="3" s="1"/>
  <c r="F47" i="2"/>
  <c r="G47" i="3" s="1"/>
  <c r="O45" i="2"/>
  <c r="P45" i="3" s="1"/>
  <c r="L142" i="2"/>
  <c r="M142" i="3" s="1"/>
  <c r="J141" i="2"/>
  <c r="K141" i="3" s="1"/>
  <c r="D135" i="2"/>
  <c r="E95" i="2"/>
  <c r="F95" i="3" s="1"/>
  <c r="D96" i="2"/>
  <c r="E96" i="3" s="1"/>
  <c r="E106" i="2"/>
  <c r="F106" i="3" s="1"/>
  <c r="D91" i="2"/>
  <c r="E91" i="3" s="1"/>
  <c r="H105" i="2"/>
  <c r="I105" i="3" s="1"/>
  <c r="E94" i="2"/>
  <c r="F94" i="3" s="1"/>
  <c r="K107" i="2"/>
  <c r="L107" i="3" s="1"/>
  <c r="L91" i="2"/>
  <c r="M91" i="3" s="1"/>
  <c r="H103" i="2"/>
  <c r="I103" i="3" s="1"/>
  <c r="F93" i="2"/>
  <c r="G93" i="3" s="1"/>
  <c r="D104" i="2"/>
  <c r="E104" i="3" s="1"/>
  <c r="F102" i="2"/>
  <c r="G102" i="3" s="1"/>
  <c r="I80" i="2"/>
  <c r="J80" i="3" s="1"/>
  <c r="M80" i="2"/>
  <c r="N80" i="3" s="1"/>
  <c r="L81" i="2"/>
  <c r="M81" i="3" s="1"/>
  <c r="L82" i="2"/>
  <c r="M82" i="3" s="1"/>
  <c r="J84" i="2"/>
  <c r="K84" i="3" s="1"/>
  <c r="H82" i="2"/>
  <c r="I82" i="3" s="1"/>
  <c r="L84" i="2"/>
  <c r="M84" i="3" s="1"/>
  <c r="F84" i="2"/>
  <c r="G84" i="3" s="1"/>
  <c r="J60" i="2"/>
  <c r="K60" i="3" s="1"/>
  <c r="E58" i="2"/>
  <c r="F58" i="3" s="1"/>
  <c r="K57" i="2"/>
  <c r="L57" i="3" s="1"/>
  <c r="G60" i="2"/>
  <c r="H60" i="3" s="1"/>
  <c r="I60" i="2"/>
  <c r="J60" i="3" s="1"/>
  <c r="N44" i="2"/>
  <c r="O44" i="3" s="1"/>
  <c r="G49" i="2"/>
  <c r="H49" i="3" s="1"/>
  <c r="G47" i="2"/>
  <c r="H47" i="3" s="1"/>
  <c r="N45" i="2"/>
  <c r="O45" i="3" s="1"/>
  <c r="N49" i="2"/>
  <c r="O49" i="3" s="1"/>
  <c r="M49" i="2"/>
  <c r="N49" i="3" s="1"/>
  <c r="M50" i="2"/>
  <c r="N50" i="3" s="1"/>
  <c r="N47" i="2"/>
  <c r="O47" i="3" s="1"/>
  <c r="I56" i="2"/>
  <c r="J56" i="3" s="1"/>
  <c r="L49" i="2"/>
  <c r="M49" i="3" s="1"/>
  <c r="G83" i="2"/>
  <c r="H83" i="3" s="1"/>
  <c r="O49" i="2"/>
  <c r="P49" i="3" s="1"/>
  <c r="M142" i="2"/>
  <c r="N142" i="3" s="1"/>
  <c r="I142" i="2"/>
  <c r="J142" i="3" s="1"/>
  <c r="J135" i="2"/>
  <c r="N94" i="2"/>
  <c r="O94" i="3" s="1"/>
  <c r="N107" i="2"/>
  <c r="O107" i="3" s="1"/>
  <c r="I105" i="2"/>
  <c r="J105" i="3" s="1"/>
  <c r="H95" i="2"/>
  <c r="I95" i="3" s="1"/>
  <c r="O94" i="2"/>
  <c r="P94" i="3" s="1"/>
  <c r="N106" i="2"/>
  <c r="O106" i="3" s="1"/>
  <c r="L95" i="2"/>
  <c r="M95" i="3" s="1"/>
  <c r="F96" i="2"/>
  <c r="G96" i="3" s="1"/>
  <c r="N104" i="2"/>
  <c r="O104" i="3" s="1"/>
  <c r="I106" i="2"/>
  <c r="J106" i="3" s="1"/>
  <c r="N103" i="2"/>
  <c r="O103" i="3" s="1"/>
  <c r="E102" i="2"/>
  <c r="F102" i="3" s="1"/>
  <c r="J79" i="2"/>
  <c r="K79" i="3" s="1"/>
  <c r="J80" i="2"/>
  <c r="K80" i="3" s="1"/>
  <c r="N82" i="2"/>
  <c r="O82" i="3" s="1"/>
  <c r="K84" i="2"/>
  <c r="L84" i="3" s="1"/>
  <c r="D83" i="2"/>
  <c r="E83" i="3" s="1"/>
  <c r="K81" i="2"/>
  <c r="L81" i="3" s="1"/>
  <c r="L79" i="2"/>
  <c r="M79" i="3" s="1"/>
  <c r="H83" i="2"/>
  <c r="I83" i="3" s="1"/>
  <c r="N58" i="2"/>
  <c r="O58" i="3" s="1"/>
  <c r="J59" i="2"/>
  <c r="K59" i="3" s="1"/>
  <c r="O60" i="2"/>
  <c r="P60" i="3" s="1"/>
  <c r="H57" i="2"/>
  <c r="I57" i="3" s="1"/>
  <c r="D58" i="2"/>
  <c r="E58" i="3" s="1"/>
  <c r="H46" i="2"/>
  <c r="I46" i="3" s="1"/>
  <c r="G46" i="2"/>
  <c r="H46" i="3" s="1"/>
  <c r="O48" i="2"/>
  <c r="P48" i="3" s="1"/>
  <c r="K46" i="2"/>
  <c r="L46" i="3" s="1"/>
  <c r="K50" i="2"/>
  <c r="L50" i="3" s="1"/>
  <c r="I44" i="2"/>
  <c r="J44" i="3" s="1"/>
  <c r="D46" i="2"/>
  <c r="E46" i="3" s="1"/>
  <c r="F49" i="2"/>
  <c r="G49" i="3" s="1"/>
  <c r="I57" i="2"/>
  <c r="J57" i="3" s="1"/>
  <c r="E44" i="2"/>
  <c r="F44" i="3" s="1"/>
  <c r="H93" i="2"/>
  <c r="I93" i="3" s="1"/>
  <c r="O103" i="2"/>
  <c r="P103" i="3" s="1"/>
  <c r="L83" i="2"/>
  <c r="M83" i="3" s="1"/>
  <c r="M57" i="2"/>
  <c r="N57" i="3" s="1"/>
  <c r="J50" i="2"/>
  <c r="K50" i="3" s="1"/>
  <c r="E47" i="2"/>
  <c r="F47" i="3" s="1"/>
  <c r="H141" i="2"/>
  <c r="I141" i="3" s="1"/>
  <c r="L135" i="2"/>
  <c r="I96" i="2"/>
  <c r="J96" i="3" s="1"/>
  <c r="G95" i="2"/>
  <c r="H95" i="3" s="1"/>
  <c r="H107" i="2"/>
  <c r="I107" i="3" s="1"/>
  <c r="G94" i="2"/>
  <c r="H94" i="3" s="1"/>
  <c r="F106" i="2"/>
  <c r="G106" i="3" s="1"/>
  <c r="K103" i="2"/>
  <c r="L103" i="3" s="1"/>
  <c r="H92" i="2"/>
  <c r="I92" i="3" s="1"/>
  <c r="F104" i="2"/>
  <c r="G104" i="3" s="1"/>
  <c r="J94" i="2"/>
  <c r="K94" i="3" s="1"/>
  <c r="N102" i="2"/>
  <c r="O102" i="3" s="1"/>
  <c r="I83" i="2"/>
  <c r="J83" i="3" s="1"/>
  <c r="M84" i="2"/>
  <c r="N84" i="3" s="1"/>
  <c r="M83" i="2"/>
  <c r="N83" i="3" s="1"/>
  <c r="G82" i="2"/>
  <c r="H82" i="3" s="1"/>
  <c r="M79" i="2"/>
  <c r="N79" i="3" s="1"/>
  <c r="N80" i="2"/>
  <c r="O80" i="3" s="1"/>
  <c r="L60" i="2"/>
  <c r="M60" i="3" s="1"/>
  <c r="N56" i="2"/>
  <c r="O56" i="3" s="1"/>
  <c r="J57" i="2"/>
  <c r="K57" i="3" s="1"/>
  <c r="K58" i="2"/>
  <c r="L58" i="3" s="1"/>
  <c r="D60" i="2"/>
  <c r="E60" i="3" s="1"/>
  <c r="D44" i="2"/>
  <c r="E44" i="3" s="1"/>
  <c r="K48" i="2"/>
  <c r="L48" i="3" s="1"/>
  <c r="D47" i="2"/>
  <c r="E47" i="3" s="1"/>
  <c r="K49" i="2"/>
  <c r="L49" i="3" s="1"/>
  <c r="H47" i="2"/>
  <c r="I47" i="3" s="1"/>
  <c r="F48" i="2"/>
  <c r="G48" i="3" s="1"/>
  <c r="M46" i="2"/>
  <c r="N46" i="3" s="1"/>
  <c r="N50" i="2"/>
  <c r="O50" i="3" s="1"/>
  <c r="O50" i="2"/>
  <c r="P50" i="3" s="1"/>
  <c r="G106" i="2"/>
  <c r="H106" i="3" s="1"/>
  <c r="D102" i="2"/>
  <c r="E102" i="3" s="1"/>
  <c r="K47" i="2"/>
  <c r="L47" i="3" s="1"/>
  <c r="M104" i="2"/>
  <c r="N104" i="3" s="1"/>
  <c r="E48" i="2"/>
  <c r="F48" i="3" s="1"/>
  <c r="N142" i="2"/>
  <c r="O142" i="3" s="1"/>
  <c r="L141" i="2"/>
  <c r="M141" i="3" s="1"/>
  <c r="N135" i="2"/>
  <c r="D106" i="2"/>
  <c r="E106" i="3" s="1"/>
  <c r="F92" i="2"/>
  <c r="G92" i="3" s="1"/>
  <c r="I94" i="2"/>
  <c r="J94" i="3" s="1"/>
  <c r="F94" i="2"/>
  <c r="G94" i="3" s="1"/>
  <c r="N95" i="2"/>
  <c r="O95" i="3" s="1"/>
  <c r="M107" i="2"/>
  <c r="N107" i="3" s="1"/>
  <c r="E96" i="2"/>
  <c r="F96" i="3" s="1"/>
  <c r="M91" i="2"/>
  <c r="N91" i="3" s="1"/>
  <c r="I103" i="2"/>
  <c r="J103" i="3" s="1"/>
  <c r="O93" i="2"/>
  <c r="P93" i="3" s="1"/>
  <c r="L105" i="2"/>
  <c r="M105" i="3" s="1"/>
  <c r="F107" i="2"/>
  <c r="G107" i="3" s="1"/>
  <c r="I79" i="2"/>
  <c r="J79" i="3" s="1"/>
  <c r="O83" i="2"/>
  <c r="P83" i="3" s="1"/>
  <c r="F82" i="2"/>
  <c r="G82" i="3" s="1"/>
  <c r="M81" i="2"/>
  <c r="N81" i="3" s="1"/>
  <c r="O80" i="2"/>
  <c r="P80" i="3" s="1"/>
  <c r="J56" i="2"/>
  <c r="K56" i="3" s="1"/>
  <c r="O57" i="2"/>
  <c r="P57" i="3" s="1"/>
  <c r="L57" i="2"/>
  <c r="M57" i="3" s="1"/>
  <c r="E56" i="2"/>
  <c r="F56" i="3" s="1"/>
  <c r="D59" i="2"/>
  <c r="E59" i="3" s="1"/>
  <c r="H56" i="2"/>
  <c r="I56" i="3" s="1"/>
  <c r="I49" i="2"/>
  <c r="J49" i="3" s="1"/>
  <c r="L44" i="2"/>
  <c r="M44" i="3" s="1"/>
  <c r="H50" i="2"/>
  <c r="I50" i="3" s="1"/>
  <c r="D48" i="2"/>
  <c r="E48" i="3" s="1"/>
  <c r="J44" i="2"/>
  <c r="K44" i="3" s="1"/>
  <c r="D50" i="2"/>
  <c r="E50" i="3" s="1"/>
  <c r="D84" i="2"/>
  <c r="E84" i="3" s="1"/>
  <c r="G56" i="2"/>
  <c r="H56" i="3" s="1"/>
  <c r="L56" i="2"/>
  <c r="M56" i="3" s="1"/>
  <c r="N48" i="2"/>
  <c r="O48" i="3" s="1"/>
  <c r="O141" i="2"/>
  <c r="P141" i="3" s="1"/>
  <c r="G142" i="2"/>
  <c r="H142" i="3" s="1"/>
  <c r="E135" i="2"/>
  <c r="O95" i="2"/>
  <c r="P95" i="3" s="1"/>
  <c r="M95" i="2"/>
  <c r="N95" i="3" s="1"/>
  <c r="G91" i="2"/>
  <c r="H91" i="3" s="1"/>
  <c r="E92" i="2"/>
  <c r="F92" i="3" s="1"/>
  <c r="F103" i="2"/>
  <c r="G103" i="3" s="1"/>
  <c r="F95" i="2"/>
  <c r="G95" i="3" s="1"/>
  <c r="I107" i="2"/>
  <c r="J107" i="3" s="1"/>
  <c r="O104" i="2"/>
  <c r="P104" i="3" s="1"/>
  <c r="G93" i="2"/>
  <c r="H93" i="3" s="1"/>
  <c r="I95" i="2"/>
  <c r="J95" i="3" s="1"/>
  <c r="O107" i="2"/>
  <c r="P107" i="3" s="1"/>
  <c r="E79" i="2"/>
  <c r="F79" i="3" s="1"/>
  <c r="D82" i="2"/>
  <c r="E82" i="3" s="1"/>
  <c r="J83" i="2"/>
  <c r="K83" i="3" s="1"/>
  <c r="N83" i="2"/>
  <c r="O83" i="3" s="1"/>
  <c r="D81" i="2"/>
  <c r="E81" i="3" s="1"/>
  <c r="F81" i="2"/>
  <c r="G81" i="3" s="1"/>
  <c r="O44" i="2"/>
  <c r="P44" i="3" s="1"/>
  <c r="H59" i="2"/>
  <c r="I59" i="3" s="1"/>
  <c r="F58" i="2"/>
  <c r="G58" i="3" s="1"/>
  <c r="O58" i="2"/>
  <c r="P58" i="3" s="1"/>
  <c r="F60" i="2"/>
  <c r="G60" i="3" s="1"/>
  <c r="J45" i="2"/>
  <c r="K45" i="3" s="1"/>
  <c r="O47" i="2"/>
  <c r="P47" i="3" s="1"/>
  <c r="F46" i="2"/>
  <c r="G46" i="3" s="1"/>
  <c r="E45" i="2"/>
  <c r="F45" i="3" s="1"/>
  <c r="K44" i="2"/>
  <c r="L44" i="3" s="1"/>
  <c r="G45" i="2"/>
  <c r="H45" i="3" s="1"/>
  <c r="G81" i="2"/>
  <c r="H81" i="3" s="1"/>
  <c r="M106" i="2"/>
  <c r="N106" i="3" s="1"/>
  <c r="N60" i="2"/>
  <c r="O60" i="3" s="1"/>
  <c r="I48" i="2"/>
  <c r="J48" i="3" s="1"/>
  <c r="E57" i="2"/>
  <c r="F57" i="3" s="1"/>
  <c r="O142" i="2"/>
  <c r="P142" i="3" s="1"/>
  <c r="I141" i="2"/>
  <c r="J141" i="3" s="1"/>
  <c r="G141" i="2"/>
  <c r="H141" i="3" s="1"/>
  <c r="M135" i="2"/>
  <c r="M103" i="2"/>
  <c r="N103" i="3" s="1"/>
  <c r="J105" i="2"/>
  <c r="K105" i="3" s="1"/>
  <c r="H94" i="2"/>
  <c r="I94" i="3" s="1"/>
  <c r="E103" i="2"/>
  <c r="F103" i="3" s="1"/>
  <c r="L96" i="2"/>
  <c r="M96" i="3" s="1"/>
  <c r="N91" i="2"/>
  <c r="O91" i="3" s="1"/>
  <c r="J103" i="2"/>
  <c r="K103" i="3" s="1"/>
  <c r="I92" i="2"/>
  <c r="J92" i="3" s="1"/>
  <c r="G104" i="2"/>
  <c r="H104" i="3" s="1"/>
  <c r="D94" i="2"/>
  <c r="E94" i="3" s="1"/>
  <c r="J106" i="2"/>
  <c r="K106" i="3" s="1"/>
  <c r="O96" i="2"/>
  <c r="P96" i="3" s="1"/>
  <c r="K102" i="2"/>
  <c r="L102" i="3" s="1"/>
  <c r="M102" i="2"/>
  <c r="N102" i="3" s="1"/>
  <c r="G80" i="2"/>
  <c r="H80" i="3" s="1"/>
  <c r="K83" i="2"/>
  <c r="L83" i="3" s="1"/>
  <c r="O84" i="2"/>
  <c r="P84" i="3" s="1"/>
  <c r="N79" i="2"/>
  <c r="O79" i="3" s="1"/>
  <c r="J48" i="2"/>
  <c r="K48" i="3" s="1"/>
  <c r="F45" i="2"/>
  <c r="G45" i="3" s="1"/>
  <c r="D103" i="2"/>
  <c r="E103" i="3" s="1"/>
  <c r="H84" i="2"/>
  <c r="I84" i="3" s="1"/>
  <c r="L48" i="2"/>
  <c r="M48" i="3" s="1"/>
  <c r="O82" i="2"/>
  <c r="P82" i="3" s="1"/>
  <c r="K45" i="2"/>
  <c r="L45" i="3" s="1"/>
  <c r="J142" i="2"/>
  <c r="K142" i="3" s="1"/>
  <c r="M141" i="2"/>
  <c r="N141" i="3" s="1"/>
  <c r="J93" i="2"/>
  <c r="K93" i="3" s="1"/>
  <c r="K104" i="2"/>
  <c r="L104" i="3" s="1"/>
  <c r="M96" i="2"/>
  <c r="N96" i="3" s="1"/>
  <c r="J96" i="2"/>
  <c r="K96" i="3" s="1"/>
  <c r="O106" i="2"/>
  <c r="P106" i="3" s="1"/>
  <c r="K96" i="2"/>
  <c r="L96" i="3" s="1"/>
  <c r="M105" i="2"/>
  <c r="N105" i="3" s="1"/>
  <c r="K94" i="2"/>
  <c r="L94" i="3" s="1"/>
  <c r="H96" i="2"/>
  <c r="I96" i="3" s="1"/>
  <c r="J102" i="2"/>
  <c r="K102" i="3" s="1"/>
  <c r="O102" i="2"/>
  <c r="P102" i="3" s="1"/>
  <c r="E82" i="2"/>
  <c r="F82" i="3" s="1"/>
  <c r="I82" i="2"/>
  <c r="J82" i="3" s="1"/>
  <c r="G84" i="2"/>
  <c r="H84" i="3" s="1"/>
  <c r="K56" i="2"/>
  <c r="L56" i="3" s="1"/>
  <c r="M56" i="2"/>
  <c r="N56" i="3" s="1"/>
  <c r="L59" i="2"/>
  <c r="M59" i="3" s="1"/>
  <c r="L58" i="2"/>
  <c r="M58" i="3" s="1"/>
  <c r="O59" i="2"/>
  <c r="P59" i="3" s="1"/>
  <c r="I58" i="2"/>
  <c r="J58" i="3" s="1"/>
  <c r="I45" i="2"/>
  <c r="J45" i="3" s="1"/>
  <c r="J49" i="2"/>
  <c r="K49" i="3" s="1"/>
  <c r="L45" i="2"/>
  <c r="M45" i="3" s="1"/>
  <c r="I50" i="2"/>
  <c r="J50" i="3" s="1"/>
  <c r="N46" i="2"/>
  <c r="O46" i="3" s="1"/>
  <c r="M47" i="2"/>
  <c r="N47" i="3" s="1"/>
  <c r="K142" i="2"/>
  <c r="L142" i="3" s="1"/>
  <c r="L140" i="3" s="1"/>
  <c r="D105" i="2"/>
  <c r="E105" i="3" s="1"/>
  <c r="F105" i="2"/>
  <c r="G105" i="3" s="1"/>
  <c r="N92" i="2"/>
  <c r="O92" i="3" s="1"/>
  <c r="O79" i="2"/>
  <c r="P79" i="3" s="1"/>
  <c r="O56" i="2"/>
  <c r="P56" i="3" s="1"/>
  <c r="N59" i="2"/>
  <c r="O59" i="3" s="1"/>
  <c r="O46" i="2"/>
  <c r="P46" i="3" s="1"/>
  <c r="D56" i="2"/>
  <c r="E56" i="3" s="1"/>
  <c r="K141" i="2"/>
  <c r="L141" i="3" s="1"/>
  <c r="O135" i="2"/>
  <c r="J91" i="2"/>
  <c r="K91" i="3" s="1"/>
  <c r="O105" i="2"/>
  <c r="P105" i="3" s="1"/>
  <c r="L102" i="2"/>
  <c r="M102" i="3" s="1"/>
  <c r="H91" i="2"/>
  <c r="I91" i="3" s="1"/>
  <c r="L103" i="2"/>
  <c r="M103" i="3" s="1"/>
  <c r="N105" i="2"/>
  <c r="O105" i="3" s="1"/>
  <c r="D92" i="2"/>
  <c r="E92" i="3" s="1"/>
  <c r="K106" i="2"/>
  <c r="L106" i="3" s="1"/>
  <c r="J95" i="2"/>
  <c r="K95" i="3" s="1"/>
  <c r="K91" i="2"/>
  <c r="L91" i="3" s="1"/>
  <c r="G103" i="2"/>
  <c r="H103" i="3" s="1"/>
  <c r="M93" i="2"/>
  <c r="N93" i="3" s="1"/>
  <c r="I102" i="2"/>
  <c r="J102" i="3" s="1"/>
  <c r="N81" i="2"/>
  <c r="O81" i="3" s="1"/>
  <c r="K79" i="2"/>
  <c r="L79" i="3" s="1"/>
  <c r="F83" i="2"/>
  <c r="G83" i="3" s="1"/>
  <c r="I59" i="2"/>
  <c r="J59" i="3" s="1"/>
  <c r="M59" i="2"/>
  <c r="N59" i="3" s="1"/>
  <c r="E60" i="2"/>
  <c r="F60" i="3" s="1"/>
  <c r="D57" i="2"/>
  <c r="E57" i="3" s="1"/>
  <c r="H60" i="2"/>
  <c r="I60" i="3" s="1"/>
  <c r="M44" i="2"/>
  <c r="N44" i="3" s="1"/>
  <c r="F44" i="2"/>
  <c r="G44" i="3" s="1"/>
  <c r="H44" i="2"/>
  <c r="I44" i="3" s="1"/>
  <c r="G48" i="2"/>
  <c r="H48" i="3" s="1"/>
  <c r="L47" i="2"/>
  <c r="M47" i="3" s="1"/>
  <c r="E49" i="2"/>
  <c r="F49" i="3" s="1"/>
  <c r="F50" i="2"/>
  <c r="G50" i="3" s="1"/>
  <c r="F142" i="2"/>
  <c r="G142" i="3" s="1"/>
  <c r="H135" i="2"/>
  <c r="O91" i="2"/>
  <c r="P91" i="3" s="1"/>
  <c r="I91" i="2"/>
  <c r="J91" i="3" s="1"/>
  <c r="L107" i="2"/>
  <c r="M107" i="3" s="1"/>
  <c r="L92" i="2"/>
  <c r="M92" i="3" s="1"/>
  <c r="I93" i="2"/>
  <c r="J93" i="3" s="1"/>
  <c r="E105" i="2"/>
  <c r="F105" i="3" s="1"/>
  <c r="L94" i="2"/>
  <c r="M94" i="3" s="1"/>
  <c r="O92" i="2"/>
  <c r="P92" i="3" s="1"/>
  <c r="H102" i="2"/>
  <c r="I102" i="3" s="1"/>
  <c r="D80" i="2"/>
  <c r="E80" i="3" s="1"/>
  <c r="J82" i="2"/>
  <c r="K82" i="3" s="1"/>
  <c r="G57" i="2"/>
  <c r="H57" i="3" s="1"/>
  <c r="H48" i="2"/>
  <c r="I48" i="3" s="1"/>
  <c r="G38" i="2"/>
  <c r="G37" i="2" s="1"/>
  <c r="H32" i="2"/>
  <c r="H31" i="2" s="1"/>
  <c r="I31" i="3" s="1"/>
  <c r="M32" i="2"/>
  <c r="M31" i="2" s="1"/>
  <c r="N31" i="3" s="1"/>
  <c r="O38" i="2"/>
  <c r="O37" i="2" s="1"/>
  <c r="F32" i="2"/>
  <c r="F31" i="2" s="1"/>
  <c r="G31" i="3" s="1"/>
  <c r="H38" i="2"/>
  <c r="H37" i="2" s="1"/>
  <c r="O32" i="2"/>
  <c r="O31" i="2" s="1"/>
  <c r="P31" i="3" s="1"/>
  <c r="D32" i="2"/>
  <c r="D31" i="2" s="1"/>
  <c r="E31" i="3" s="1"/>
  <c r="N38" i="2"/>
  <c r="N37" i="2" s="1"/>
  <c r="J38" i="2"/>
  <c r="J37" i="2" s="1"/>
  <c r="L32" i="2"/>
  <c r="L31" i="2" s="1"/>
  <c r="M31" i="3" s="1"/>
  <c r="E38" i="2"/>
  <c r="E37" i="2" s="1"/>
  <c r="K38" i="2"/>
  <c r="K37" i="2" s="1"/>
  <c r="N32" i="2"/>
  <c r="N31" i="2" s="1"/>
  <c r="O31" i="3" s="1"/>
  <c r="D38" i="2"/>
  <c r="D37" i="2" s="1"/>
  <c r="L38" i="2"/>
  <c r="L37" i="2" s="1"/>
  <c r="F38" i="2"/>
  <c r="F37" i="2" s="1"/>
  <c r="J32" i="2"/>
  <c r="J31" i="2" s="1"/>
  <c r="K31" i="3" s="1"/>
  <c r="M38" i="2"/>
  <c r="M37" i="2" s="1"/>
  <c r="E32" i="2"/>
  <c r="E31" i="2" s="1"/>
  <c r="F31" i="3" s="1"/>
  <c r="G32" i="2"/>
  <c r="G31" i="2" s="1"/>
  <c r="H31" i="3" s="1"/>
  <c r="I38" i="2"/>
  <c r="I37" i="2" s="1"/>
  <c r="I32" i="2"/>
  <c r="I31" i="2" s="1"/>
  <c r="J31" i="3" s="1"/>
  <c r="K32" i="2"/>
  <c r="K31" i="2" s="1"/>
  <c r="L31" i="3" s="1"/>
  <c r="A54" i="9"/>
  <c r="O140" i="3" l="1"/>
  <c r="E55" i="3"/>
  <c r="J140" i="3"/>
  <c r="I43" i="3"/>
  <c r="I112" i="3"/>
  <c r="P123" i="3"/>
  <c r="N112" i="3"/>
  <c r="G65" i="3"/>
  <c r="N140" i="3"/>
  <c r="O78" i="3"/>
  <c r="P140" i="3"/>
  <c r="N123" i="3"/>
  <c r="L90" i="3"/>
  <c r="I101" i="3"/>
  <c r="L55" i="3"/>
  <c r="K101" i="3"/>
  <c r="O90" i="3"/>
  <c r="H140" i="3"/>
  <c r="L43" i="3"/>
  <c r="K55" i="3"/>
  <c r="J65" i="3"/>
  <c r="K147" i="3"/>
  <c r="M55" i="3"/>
  <c r="H55" i="3"/>
  <c r="E43" i="3"/>
  <c r="M78" i="3"/>
  <c r="O43" i="3"/>
  <c r="K78" i="3"/>
  <c r="K134" i="2"/>
  <c r="L135" i="3"/>
  <c r="L134" i="3" s="1"/>
  <c r="E65" i="3"/>
  <c r="H123" i="3"/>
  <c r="H112" i="3"/>
  <c r="M43" i="3"/>
  <c r="I55" i="3"/>
  <c r="J78" i="3"/>
  <c r="F147" i="3"/>
  <c r="J123" i="3"/>
  <c r="G123" i="3"/>
  <c r="G112" i="3"/>
  <c r="O134" i="2"/>
  <c r="P135" i="3"/>
  <c r="P134" i="3" s="1"/>
  <c r="E134" i="2"/>
  <c r="F135" i="3"/>
  <c r="F134" i="3" s="1"/>
  <c r="J90" i="3"/>
  <c r="E101" i="3"/>
  <c r="P78" i="3"/>
  <c r="N101" i="3"/>
  <c r="E90" i="3"/>
  <c r="L65" i="3"/>
  <c r="K65" i="3"/>
  <c r="M147" i="3"/>
  <c r="I123" i="3"/>
  <c r="P112" i="3"/>
  <c r="L112" i="3"/>
  <c r="M112" i="3"/>
  <c r="G55" i="3"/>
  <c r="M123" i="3"/>
  <c r="G134" i="2"/>
  <c r="H135" i="3"/>
  <c r="H134" i="3" s="1"/>
  <c r="N43" i="3"/>
  <c r="I90" i="3"/>
  <c r="P90" i="3"/>
  <c r="M101" i="3"/>
  <c r="H134" i="2"/>
  <c r="I135" i="3"/>
  <c r="I134" i="3" s="1"/>
  <c r="J101" i="3"/>
  <c r="L101" i="3"/>
  <c r="H90" i="3"/>
  <c r="F55" i="3"/>
  <c r="O101" i="3"/>
  <c r="F78" i="3"/>
  <c r="F65" i="3"/>
  <c r="N65" i="3"/>
  <c r="P147" i="3"/>
  <c r="G43" i="3"/>
  <c r="J43" i="3"/>
  <c r="L123" i="3"/>
  <c r="L78" i="3"/>
  <c r="P55" i="3"/>
  <c r="K90" i="3"/>
  <c r="P101" i="3"/>
  <c r="O55" i="3"/>
  <c r="J55" i="3"/>
  <c r="G101" i="3"/>
  <c r="G90" i="3"/>
  <c r="P65" i="3"/>
  <c r="L147" i="3"/>
  <c r="E123" i="3"/>
  <c r="M134" i="2"/>
  <c r="N135" i="3"/>
  <c r="N134" i="3" s="1"/>
  <c r="N134" i="2"/>
  <c r="O135" i="3"/>
  <c r="O134" i="3" s="1"/>
  <c r="O147" i="3"/>
  <c r="K123" i="3"/>
  <c r="L134" i="2"/>
  <c r="M135" i="3"/>
  <c r="M134" i="3" s="1"/>
  <c r="I78" i="3"/>
  <c r="H147" i="3"/>
  <c r="N147" i="3"/>
  <c r="E112" i="3"/>
  <c r="F140" i="3"/>
  <c r="P43" i="3"/>
  <c r="K43" i="3"/>
  <c r="F43" i="3"/>
  <c r="F101" i="3"/>
  <c r="D134" i="2"/>
  <c r="E135" i="3"/>
  <c r="E134" i="3" s="1"/>
  <c r="H78" i="3"/>
  <c r="M65" i="3"/>
  <c r="I65" i="3"/>
  <c r="E78" i="3"/>
  <c r="J147" i="3"/>
  <c r="F123" i="3"/>
  <c r="K112" i="3"/>
  <c r="O112" i="3"/>
  <c r="F112" i="3"/>
  <c r="I140" i="3"/>
  <c r="N55" i="3"/>
  <c r="K140" i="3"/>
  <c r="F134" i="2"/>
  <c r="G135" i="3"/>
  <c r="G134" i="3" s="1"/>
  <c r="I134" i="2"/>
  <c r="J135" i="3"/>
  <c r="J134" i="3" s="1"/>
  <c r="H101" i="3"/>
  <c r="D170" i="2"/>
  <c r="E171" i="3"/>
  <c r="E170" i="3" s="1"/>
  <c r="G78" i="3"/>
  <c r="O65" i="3"/>
  <c r="I147" i="3"/>
  <c r="O123" i="3"/>
  <c r="E140" i="3"/>
  <c r="M165" i="3"/>
  <c r="M164" i="3" s="1"/>
  <c r="J165" i="3"/>
  <c r="J164" i="3" s="1"/>
  <c r="N165" i="3"/>
  <c r="N164" i="3" s="1"/>
  <c r="O165" i="3"/>
  <c r="O164" i="3" s="1"/>
  <c r="H165" i="3"/>
  <c r="H164" i="3" s="1"/>
  <c r="P165" i="3"/>
  <c r="P164" i="3" s="1"/>
  <c r="G165" i="3"/>
  <c r="G164" i="3" s="1"/>
  <c r="F165" i="3"/>
  <c r="F164" i="3" s="1"/>
  <c r="E165" i="3"/>
  <c r="E164" i="3" s="1"/>
  <c r="K165" i="3"/>
  <c r="K164" i="3" s="1"/>
  <c r="L165" i="3"/>
  <c r="L164" i="3" s="1"/>
  <c r="I165" i="3"/>
  <c r="I164" i="3" s="1"/>
  <c r="J38" i="3"/>
  <c r="J37" i="3" s="1"/>
  <c r="N32" i="3"/>
  <c r="L32" i="3"/>
  <c r="I38" i="3"/>
  <c r="I37" i="3" s="1"/>
  <c r="O32" i="3"/>
  <c r="M32" i="3"/>
  <c r="J32" i="3"/>
  <c r="H38" i="3"/>
  <c r="H37" i="3" s="1"/>
  <c r="P32" i="3"/>
  <c r="K32" i="3"/>
  <c r="G38" i="3"/>
  <c r="G37" i="3" s="1"/>
  <c r="F32" i="3"/>
  <c r="F38" i="3"/>
  <c r="F37" i="3" s="1"/>
  <c r="E32" i="3"/>
  <c r="P38" i="3"/>
  <c r="P37" i="3" s="1"/>
  <c r="O38" i="3"/>
  <c r="O37" i="3" s="1"/>
  <c r="I32" i="3"/>
  <c r="M38" i="3"/>
  <c r="M37" i="3" s="1"/>
  <c r="E38" i="3"/>
  <c r="E37" i="3" s="1"/>
  <c r="G32" i="3"/>
  <c r="N38" i="3"/>
  <c r="N37" i="3" s="1"/>
  <c r="K38" i="3"/>
  <c r="K37" i="3" s="1"/>
  <c r="L38" i="3"/>
  <c r="L37" i="3" s="1"/>
  <c r="H32" i="3"/>
  <c r="E177" i="3"/>
  <c r="E176" i="3" s="1"/>
  <c r="H177" i="3"/>
  <c r="H176" i="3" s="1"/>
  <c r="I177" i="3"/>
  <c r="I176" i="3" s="1"/>
  <c r="L177" i="3"/>
  <c r="L176" i="3" s="1"/>
  <c r="N177" i="3"/>
  <c r="N176" i="3" s="1"/>
  <c r="G177" i="3"/>
  <c r="G176" i="3" s="1"/>
  <c r="F177" i="3"/>
  <c r="F176" i="3" s="1"/>
  <c r="K177" i="3"/>
  <c r="K176" i="3" s="1"/>
  <c r="M177" i="3"/>
  <c r="M176" i="3" s="1"/>
  <c r="O177" i="3"/>
  <c r="O176" i="3" s="1"/>
  <c r="J177" i="3"/>
  <c r="J176" i="3" s="1"/>
  <c r="P177" i="3"/>
  <c r="P176" i="3" s="1"/>
  <c r="E183" i="3"/>
  <c r="E182" i="3" s="1"/>
  <c r="H183" i="3"/>
  <c r="H182" i="3" s="1"/>
  <c r="F183" i="3"/>
  <c r="F182" i="3" s="1"/>
  <c r="M183" i="3"/>
  <c r="M182" i="3" s="1"/>
  <c r="N183" i="3"/>
  <c r="N182" i="3" s="1"/>
  <c r="K183" i="3"/>
  <c r="K182" i="3" s="1"/>
  <c r="L183" i="3"/>
  <c r="L182" i="3" s="1"/>
  <c r="O183" i="3"/>
  <c r="O182" i="3" s="1"/>
  <c r="P183" i="3"/>
  <c r="P182" i="3" s="1"/>
  <c r="I183" i="3"/>
  <c r="I182" i="3" s="1"/>
  <c r="G183" i="3"/>
  <c r="G182" i="3" s="1"/>
  <c r="J183" i="3"/>
  <c r="J182" i="3" s="1"/>
  <c r="O189" i="3"/>
  <c r="O188" i="3" s="1"/>
  <c r="I189" i="3"/>
  <c r="I188" i="3" s="1"/>
  <c r="G189" i="3"/>
  <c r="G188" i="3" s="1"/>
  <c r="E189" i="3"/>
  <c r="E188" i="3" s="1"/>
  <c r="K189" i="3"/>
  <c r="K188" i="3" s="1"/>
  <c r="M189" i="3"/>
  <c r="M188" i="3" s="1"/>
  <c r="N189" i="3"/>
  <c r="N188" i="3" s="1"/>
  <c r="F189" i="3"/>
  <c r="F188" i="3" s="1"/>
  <c r="H189" i="3"/>
  <c r="H188" i="3" s="1"/>
  <c r="P189" i="3"/>
  <c r="P188" i="3" s="1"/>
  <c r="J189" i="3"/>
  <c r="J188" i="3" s="1"/>
  <c r="L189" i="3"/>
  <c r="L188" i="3" s="1"/>
  <c r="O195" i="3"/>
  <c r="O194" i="3" s="1"/>
  <c r="H195" i="3"/>
  <c r="H194" i="3" s="1"/>
  <c r="E195" i="3"/>
  <c r="E194" i="3" s="1"/>
  <c r="I195" i="3"/>
  <c r="I194" i="3" s="1"/>
  <c r="J195" i="3"/>
  <c r="J194" i="3" s="1"/>
  <c r="L195" i="3"/>
  <c r="L194" i="3" s="1"/>
  <c r="M195" i="3"/>
  <c r="M194" i="3" s="1"/>
  <c r="N195" i="3"/>
  <c r="N194" i="3" s="1"/>
  <c r="P195" i="3"/>
  <c r="P194" i="3" s="1"/>
  <c r="F195" i="3"/>
  <c r="F194" i="3" s="1"/>
  <c r="G195" i="3"/>
  <c r="G194" i="3" s="1"/>
  <c r="K195" i="3"/>
  <c r="K194" i="3" s="1"/>
  <c r="E201" i="3"/>
  <c r="N90" i="3"/>
  <c r="N78" i="3"/>
  <c r="J134" i="2"/>
  <c r="K135" i="3"/>
  <c r="K134" i="3" s="1"/>
  <c r="M90" i="3"/>
  <c r="M140" i="3"/>
  <c r="F90" i="3"/>
  <c r="G147" i="3"/>
  <c r="J112" i="3"/>
  <c r="A9" i="18"/>
  <c r="F91" i="4"/>
  <c r="H33" i="4"/>
  <c r="E106" i="4"/>
  <c r="H46" i="4"/>
  <c r="H119" i="4"/>
  <c r="G104" i="4"/>
  <c r="K91" i="4"/>
  <c r="M104" i="4"/>
  <c r="I119" i="4"/>
  <c r="F44" i="4"/>
  <c r="H92" i="4"/>
  <c r="L91" i="4"/>
  <c r="G33" i="4"/>
  <c r="J47" i="4"/>
  <c r="N43" i="4"/>
  <c r="N33" i="4"/>
  <c r="H44" i="4"/>
  <c r="M92" i="4"/>
  <c r="N91" i="4"/>
  <c r="I46" i="4"/>
  <c r="K47" i="4"/>
  <c r="P93" i="4"/>
  <c r="F95" i="4"/>
  <c r="J44" i="4"/>
  <c r="O92" i="4"/>
  <c r="O91" i="4"/>
  <c r="M101" i="4"/>
  <c r="K103" i="4"/>
  <c r="J46" i="4"/>
  <c r="L47" i="4"/>
  <c r="L105" i="4"/>
  <c r="I112" i="4"/>
  <c r="I111" i="4" s="1"/>
  <c r="E95" i="4"/>
  <c r="O44" i="4"/>
  <c r="M91" i="4"/>
  <c r="F45" i="4"/>
  <c r="P103" i="4"/>
  <c r="L46" i="4"/>
  <c r="O47" i="4"/>
  <c r="H94" i="4"/>
  <c r="P44" i="4"/>
  <c r="F92" i="4"/>
  <c r="P91" i="4"/>
  <c r="G45" i="4"/>
  <c r="N46" i="4"/>
  <c r="N47" i="4"/>
  <c r="F93" i="4"/>
  <c r="J94" i="4"/>
  <c r="G44" i="4"/>
  <c r="J58" i="4"/>
  <c r="I45" i="4"/>
  <c r="H48" i="4"/>
  <c r="J93" i="4"/>
  <c r="O94" i="4"/>
  <c r="I33" i="4"/>
  <c r="J45" i="4"/>
  <c r="M48" i="4"/>
  <c r="M47" i="4"/>
  <c r="O93" i="4"/>
  <c r="J33" i="4"/>
  <c r="G118" i="4"/>
  <c r="P94" i="4"/>
  <c r="L22" i="4"/>
  <c r="G22" i="4"/>
  <c r="G95" i="4"/>
  <c r="I103" i="4"/>
  <c r="E57" i="4"/>
  <c r="F105" i="4"/>
  <c r="I58" i="4"/>
  <c r="P102" i="4"/>
  <c r="F118" i="4"/>
  <c r="L56" i="4"/>
  <c r="H106" i="4"/>
  <c r="M56" i="4"/>
  <c r="G102" i="4"/>
  <c r="K95" i="4"/>
  <c r="H104" i="4"/>
  <c r="M22" i="4"/>
  <c r="E46" i="4"/>
  <c r="E94" i="4"/>
  <c r="J118" i="4"/>
  <c r="I106" i="4"/>
  <c r="F58" i="4"/>
  <c r="H43" i="4"/>
  <c r="K57" i="4"/>
  <c r="H101" i="4"/>
  <c r="N56" i="4"/>
  <c r="L106" i="4"/>
  <c r="P58" i="4"/>
  <c r="K112" i="4"/>
  <c r="K111" i="4" s="1"/>
  <c r="E102" i="4"/>
  <c r="H112" i="4"/>
  <c r="H111" i="4" s="1"/>
  <c r="L104" i="4"/>
  <c r="F79" i="4"/>
  <c r="M106" i="4"/>
  <c r="K46" i="4"/>
  <c r="L118" i="4"/>
  <c r="G57" i="4"/>
  <c r="L119" i="4"/>
  <c r="K118" i="4"/>
  <c r="I118" i="4"/>
  <c r="I117" i="4" s="1"/>
  <c r="E58" i="4"/>
  <c r="J21" i="4"/>
  <c r="M90" i="4"/>
  <c r="O56" i="4"/>
  <c r="J106" i="4"/>
  <c r="O119" i="4"/>
  <c r="K56" i="4"/>
  <c r="M119" i="4"/>
  <c r="E112" i="4"/>
  <c r="E111" i="4" s="1"/>
  <c r="N104" i="4"/>
  <c r="P43" i="4"/>
  <c r="L90" i="4"/>
  <c r="G46" i="4"/>
  <c r="N21" i="4"/>
  <c r="N118" i="4"/>
  <c r="N119" i="4"/>
  <c r="F43" i="4"/>
  <c r="K101" i="4"/>
  <c r="G58" i="4"/>
  <c r="F101" i="4"/>
  <c r="J57" i="4"/>
  <c r="H118" i="4"/>
  <c r="K21" i="4"/>
  <c r="O90" i="4"/>
  <c r="P56" i="4"/>
  <c r="K106" i="4"/>
  <c r="N58" i="4"/>
  <c r="P92" i="4"/>
  <c r="F94" i="4"/>
  <c r="O118" i="4"/>
  <c r="P119" i="4"/>
  <c r="F48" i="4"/>
  <c r="E101" i="4"/>
  <c r="G101" i="4"/>
  <c r="N106" i="4"/>
  <c r="K33" i="4"/>
  <c r="L112" i="4"/>
  <c r="L111" i="4" s="1"/>
  <c r="P104" i="4"/>
  <c r="H22" i="4"/>
  <c r="I56" i="4"/>
  <c r="K92" i="4"/>
  <c r="H102" i="4"/>
  <c r="P118" i="4"/>
  <c r="G43" i="4"/>
  <c r="G48" i="4"/>
  <c r="M57" i="4"/>
  <c r="J101" i="4"/>
  <c r="H58" i="4"/>
  <c r="M21" i="4"/>
  <c r="H45" i="4"/>
  <c r="G93" i="4"/>
  <c r="F102" i="4"/>
  <c r="F119" i="4"/>
  <c r="N102" i="4"/>
  <c r="F90" i="4"/>
  <c r="J79" i="4"/>
  <c r="O106" i="4"/>
  <c r="G105" i="4"/>
  <c r="N112" i="4"/>
  <c r="N111" i="4" s="1"/>
  <c r="F22" i="4"/>
  <c r="J104" i="4"/>
  <c r="L45" i="4"/>
  <c r="N48" i="4"/>
  <c r="L33" i="4"/>
  <c r="H105" i="4"/>
  <c r="G94" i="4"/>
  <c r="J102" i="4"/>
  <c r="I43" i="4"/>
  <c r="I48" i="4"/>
  <c r="J95" i="4"/>
  <c r="G90" i="4"/>
  <c r="L79" i="4"/>
  <c r="F106" i="4"/>
  <c r="O112" i="4"/>
  <c r="O111" i="4" s="1"/>
  <c r="E22" i="4"/>
  <c r="G112" i="4"/>
  <c r="G111" i="4" s="1"/>
  <c r="H56" i="4"/>
  <c r="G56" i="4"/>
  <c r="M43" i="4"/>
  <c r="F103" i="4"/>
  <c r="K105" i="4"/>
  <c r="K102" i="4"/>
  <c r="M118" i="4"/>
  <c r="J43" i="4"/>
  <c r="J48" i="4"/>
  <c r="L95" i="4"/>
  <c r="G119" i="4"/>
  <c r="O21" i="4"/>
  <c r="L21" i="4"/>
  <c r="O102" i="4"/>
  <c r="H57" i="4"/>
  <c r="P112" i="4"/>
  <c r="P111" i="4" s="1"/>
  <c r="M79" i="4"/>
  <c r="P106" i="4"/>
  <c r="J22" i="4"/>
  <c r="K119" i="4"/>
  <c r="I105" i="4"/>
  <c r="K48" i="4"/>
  <c r="O79" i="4"/>
  <c r="M95" i="4"/>
  <c r="K22" i="4"/>
  <c r="H95" i="4"/>
  <c r="F33" i="4"/>
  <c r="M103" i="4"/>
  <c r="M45" i="4"/>
  <c r="I94" i="4"/>
  <c r="E45" i="4"/>
  <c r="K104" i="4"/>
  <c r="L102" i="4"/>
  <c r="L48" i="4"/>
  <c r="I102" i="4"/>
  <c r="N90" i="4"/>
  <c r="O22" i="4"/>
  <c r="O43" i="4"/>
  <c r="F112" i="4"/>
  <c r="F111" i="4" s="1"/>
  <c r="N44" i="4"/>
  <c r="N105" i="4"/>
  <c r="O46" i="4"/>
  <c r="P21" i="4"/>
  <c r="J103" i="4"/>
  <c r="N92" i="4"/>
  <c r="M102" i="4"/>
  <c r="G106" i="4"/>
  <c r="F57" i="4"/>
  <c r="O48" i="4"/>
  <c r="J119" i="4"/>
  <c r="P45" i="4"/>
  <c r="E93" i="4"/>
  <c r="P33" i="4"/>
  <c r="J105" i="4"/>
  <c r="E103" i="4"/>
  <c r="O33" i="4"/>
  <c r="N79" i="4"/>
  <c r="P90" i="4"/>
  <c r="N22" i="4"/>
  <c r="K90" i="4"/>
  <c r="E105" i="4"/>
  <c r="N95" i="4"/>
  <c r="E90" i="4"/>
  <c r="P48" i="4"/>
  <c r="K58" i="4"/>
  <c r="E118" i="4"/>
  <c r="J91" i="4"/>
  <c r="M44" i="4"/>
  <c r="E44" i="4"/>
  <c r="H93" i="4"/>
  <c r="F47" i="4"/>
  <c r="P101" i="4"/>
  <c r="F104" i="4"/>
  <c r="K44" i="4"/>
  <c r="O95" i="4"/>
  <c r="M58" i="4"/>
  <c r="H90" i="4"/>
  <c r="I104" i="4"/>
  <c r="L58" i="4"/>
  <c r="F46" i="4"/>
  <c r="L92" i="4"/>
  <c r="O45" i="4"/>
  <c r="I91" i="4"/>
  <c r="L44" i="4"/>
  <c r="M33" i="4"/>
  <c r="E92" i="4"/>
  <c r="O101" i="4"/>
  <c r="P47" i="4"/>
  <c r="H21" i="4"/>
  <c r="L57" i="4"/>
  <c r="P95" i="4"/>
  <c r="O58" i="4"/>
  <c r="G103" i="4"/>
  <c r="O57" i="4"/>
  <c r="O104" i="4"/>
  <c r="I47" i="4"/>
  <c r="N93" i="4"/>
  <c r="M93" i="4"/>
  <c r="N45" i="4"/>
  <c r="F21" i="4"/>
  <c r="G91" i="4"/>
  <c r="E33" i="4"/>
  <c r="N101" i="4"/>
  <c r="I93" i="4"/>
  <c r="N57" i="4"/>
  <c r="E104" i="4"/>
  <c r="N94" i="4"/>
  <c r="E47" i="4"/>
  <c r="M94" i="4"/>
  <c r="P46" i="4"/>
  <c r="E91" i="4"/>
  <c r="I92" i="4"/>
  <c r="I44" i="4"/>
  <c r="L101" i="4"/>
  <c r="L43" i="4"/>
  <c r="I57" i="4"/>
  <c r="I101" i="4"/>
  <c r="E79" i="4"/>
  <c r="M105" i="4"/>
  <c r="G92" i="4"/>
  <c r="F56" i="4"/>
  <c r="P57" i="4"/>
  <c r="J112" i="4"/>
  <c r="J111" i="4" s="1"/>
  <c r="H103" i="4"/>
  <c r="O103" i="4"/>
  <c r="H47" i="4"/>
  <c r="N103" i="4"/>
  <c r="H91" i="4"/>
  <c r="K93" i="4"/>
  <c r="K45" i="4"/>
  <c r="I22" i="4"/>
  <c r="E56" i="4"/>
  <c r="L103" i="4"/>
  <c r="K43" i="4"/>
  <c r="J56" i="4"/>
  <c r="M112" i="4"/>
  <c r="M111" i="4" s="1"/>
  <c r="I95" i="4"/>
  <c r="I21" i="4"/>
  <c r="P105" i="4"/>
  <c r="O105" i="4"/>
  <c r="G47" i="4"/>
  <c r="J92" i="4"/>
  <c r="K94" i="4"/>
  <c r="M46" i="4"/>
  <c r="E43" i="4"/>
  <c r="E119" i="4"/>
  <c r="E48" i="4"/>
  <c r="E21" i="4"/>
  <c r="L93" i="4"/>
  <c r="P22" i="4"/>
  <c r="G79" i="4"/>
  <c r="G21" i="4"/>
  <c r="L94" i="4"/>
  <c r="H79" i="4"/>
  <c r="J90" i="4"/>
  <c r="I79" i="4"/>
  <c r="K79" i="4"/>
  <c r="P79" i="4"/>
  <c r="I90" i="4"/>
  <c r="N148" i="4"/>
  <c r="N147" i="4" s="1"/>
  <c r="K148" i="4"/>
  <c r="K147" i="4" s="1"/>
  <c r="G148" i="4"/>
  <c r="G147" i="4" s="1"/>
  <c r="F148" i="4"/>
  <c r="F147" i="4" s="1"/>
  <c r="I148" i="4"/>
  <c r="I147" i="4" s="1"/>
  <c r="L148" i="4"/>
  <c r="L147" i="4" s="1"/>
  <c r="J148" i="4"/>
  <c r="J147" i="4" s="1"/>
  <c r="P148" i="4"/>
  <c r="P147" i="4" s="1"/>
  <c r="O148" i="4"/>
  <c r="O147" i="4" s="1"/>
  <c r="H148" i="4"/>
  <c r="H147" i="4" s="1"/>
  <c r="E148" i="4"/>
  <c r="E147" i="4" s="1"/>
  <c r="M148" i="4"/>
  <c r="M147" i="4" s="1"/>
  <c r="P24" i="4"/>
  <c r="K84" i="4"/>
  <c r="K25" i="4"/>
  <c r="E128" i="4"/>
  <c r="H128" i="4"/>
  <c r="F68" i="4"/>
  <c r="I126" i="4"/>
  <c r="E35" i="4"/>
  <c r="I127" i="4"/>
  <c r="P60" i="4"/>
  <c r="H27" i="4"/>
  <c r="M71" i="4"/>
  <c r="G130" i="4"/>
  <c r="J82" i="4"/>
  <c r="J139" i="18" s="1"/>
  <c r="G129" i="4"/>
  <c r="J26" i="4"/>
  <c r="K72" i="4"/>
  <c r="N73" i="4"/>
  <c r="L73" i="4"/>
  <c r="M81" i="4"/>
  <c r="M138" i="18" s="1"/>
  <c r="E126" i="4"/>
  <c r="H127" i="4"/>
  <c r="N60" i="4"/>
  <c r="M26" i="4"/>
  <c r="F26" i="4"/>
  <c r="N72" i="4"/>
  <c r="H73" i="4"/>
  <c r="L83" i="4"/>
  <c r="L140" i="18" s="1"/>
  <c r="K130" i="4"/>
  <c r="F82" i="4"/>
  <c r="F139" i="18" s="1"/>
  <c r="H82" i="4"/>
  <c r="H139" i="18" s="1"/>
  <c r="G73" i="4"/>
  <c r="H68" i="4"/>
  <c r="P69" i="4"/>
  <c r="E37" i="4"/>
  <c r="F37" i="4" s="1"/>
  <c r="G37" i="4" s="1"/>
  <c r="H37" i="4" s="1"/>
  <c r="I37" i="4" s="1"/>
  <c r="J37" i="4" s="1"/>
  <c r="K37" i="4" s="1"/>
  <c r="L37" i="4" s="1"/>
  <c r="M37" i="4" s="1"/>
  <c r="N37" i="4" s="1"/>
  <c r="O37" i="4" s="1"/>
  <c r="P37" i="4" s="1"/>
  <c r="H130" i="4"/>
  <c r="P82" i="4"/>
  <c r="P139" i="18" s="1"/>
  <c r="O129" i="4"/>
  <c r="M73" i="4"/>
  <c r="I84" i="4"/>
  <c r="M61" i="4"/>
  <c r="P128" i="4"/>
  <c r="I128" i="4"/>
  <c r="I83" i="4"/>
  <c r="I140" i="18" s="1"/>
  <c r="N68" i="4"/>
  <c r="J68" i="4"/>
  <c r="M126" i="4"/>
  <c r="F35" i="4"/>
  <c r="N35" i="4"/>
  <c r="E60" i="4"/>
  <c r="G27" i="4"/>
  <c r="P71" i="4"/>
  <c r="N130" i="4"/>
  <c r="G82" i="4"/>
  <c r="G139" i="18" s="1"/>
  <c r="L129" i="4"/>
  <c r="O26" i="4"/>
  <c r="P72" i="4"/>
  <c r="I73" i="4"/>
  <c r="E73" i="4"/>
  <c r="E81" i="4"/>
  <c r="L26" i="4"/>
  <c r="K26" i="4"/>
  <c r="O72" i="4"/>
  <c r="P73" i="4"/>
  <c r="O73" i="4"/>
  <c r="F81" i="4"/>
  <c r="F138" i="18" s="1"/>
  <c r="M129" i="4"/>
  <c r="E26" i="4"/>
  <c r="H26" i="4"/>
  <c r="M68" i="4"/>
  <c r="P35" i="4"/>
  <c r="F69" i="4"/>
  <c r="O130" i="4"/>
  <c r="E129" i="4"/>
  <c r="O81" i="4"/>
  <c r="O138" i="18" s="1"/>
  <c r="P25" i="4"/>
  <c r="L81" i="4"/>
  <c r="L138" i="18" s="1"/>
  <c r="F24" i="4"/>
  <c r="J25" i="4"/>
  <c r="O25" i="4"/>
  <c r="K61" i="4"/>
  <c r="G128" i="4"/>
  <c r="K83" i="4"/>
  <c r="K140" i="18" s="1"/>
  <c r="J126" i="4"/>
  <c r="M35" i="4"/>
  <c r="O69" i="4"/>
  <c r="K127" i="4"/>
  <c r="N127" i="4"/>
  <c r="L60" i="4"/>
  <c r="N27" i="4"/>
  <c r="K71" i="4"/>
  <c r="J71" i="4"/>
  <c r="I130" i="4"/>
  <c r="K129" i="4"/>
  <c r="I24" i="4"/>
  <c r="O84" i="4"/>
  <c r="F25" i="4"/>
  <c r="I61" i="4"/>
  <c r="F128" i="4"/>
  <c r="M83" i="4"/>
  <c r="M140" i="18" s="1"/>
  <c r="L68" i="4"/>
  <c r="E68" i="4"/>
  <c r="P126" i="4"/>
  <c r="O35" i="4"/>
  <c r="I35" i="4"/>
  <c r="F127" i="4"/>
  <c r="P127" i="4"/>
  <c r="M60" i="4"/>
  <c r="M27" i="4"/>
  <c r="K82" i="4"/>
  <c r="K139" i="18" s="1"/>
  <c r="I129" i="4"/>
  <c r="G68" i="4"/>
  <c r="J27" i="4"/>
  <c r="E71" i="4"/>
  <c r="O24" i="4"/>
  <c r="M82" i="4"/>
  <c r="M139" i="18" s="1"/>
  <c r="N24" i="4"/>
  <c r="L24" i="4"/>
  <c r="G84" i="4"/>
  <c r="N25" i="4"/>
  <c r="I25" i="4"/>
  <c r="L61" i="4"/>
  <c r="L128" i="4"/>
  <c r="N83" i="4"/>
  <c r="N140" i="18" s="1"/>
  <c r="G24" i="4"/>
  <c r="L84" i="4"/>
  <c r="L25" i="4"/>
  <c r="G61" i="4"/>
  <c r="J61" i="4"/>
  <c r="M128" i="4"/>
  <c r="J83" i="4"/>
  <c r="J140" i="18" s="1"/>
  <c r="P68" i="4"/>
  <c r="G126" i="4"/>
  <c r="N69" i="4"/>
  <c r="L127" i="4"/>
  <c r="K27" i="4"/>
  <c r="O27" i="4"/>
  <c r="O71" i="4"/>
  <c r="P130" i="4"/>
  <c r="O82" i="4"/>
  <c r="O139" i="18" s="1"/>
  <c r="J129" i="4"/>
  <c r="I72" i="4"/>
  <c r="K73" i="4"/>
  <c r="F129" i="4"/>
  <c r="L72" i="4"/>
  <c r="J73" i="4"/>
  <c r="G81" i="4"/>
  <c r="G138" i="18" s="1"/>
  <c r="J81" i="4"/>
  <c r="J138" i="18" s="1"/>
  <c r="I81" i="4"/>
  <c r="I138" i="18" s="1"/>
  <c r="P81" i="4"/>
  <c r="P138" i="18" s="1"/>
  <c r="E84" i="4"/>
  <c r="P83" i="4"/>
  <c r="P140" i="18" s="1"/>
  <c r="L126" i="4"/>
  <c r="G69" i="4"/>
  <c r="J128" i="4"/>
  <c r="H24" i="4"/>
  <c r="F84" i="4"/>
  <c r="H25" i="4"/>
  <c r="N61" i="4"/>
  <c r="O128" i="4"/>
  <c r="H83" i="4"/>
  <c r="H140" i="18" s="1"/>
  <c r="O68" i="4"/>
  <c r="H126" i="4"/>
  <c r="F126" i="4"/>
  <c r="G35" i="4"/>
  <c r="E36" i="4"/>
  <c r="F36" i="4" s="1"/>
  <c r="G36" i="4" s="1"/>
  <c r="H36" i="4" s="1"/>
  <c r="I36" i="4" s="1"/>
  <c r="J36" i="4" s="1"/>
  <c r="K36" i="4" s="1"/>
  <c r="L36" i="4" s="1"/>
  <c r="M36" i="4" s="1"/>
  <c r="N36" i="4" s="1"/>
  <c r="O36" i="4" s="1"/>
  <c r="P36" i="4" s="1"/>
  <c r="K69" i="4"/>
  <c r="E127" i="4"/>
  <c r="G60" i="4"/>
  <c r="P27" i="4"/>
  <c r="L27" i="4"/>
  <c r="F71" i="4"/>
  <c r="L71" i="4"/>
  <c r="J130" i="4"/>
  <c r="L82" i="4"/>
  <c r="L139" i="18" s="1"/>
  <c r="H129" i="4"/>
  <c r="N26" i="4"/>
  <c r="F72" i="4"/>
  <c r="H72" i="4"/>
  <c r="H81" i="4"/>
  <c r="H138" i="18" s="1"/>
  <c r="N129" i="4"/>
  <c r="G26" i="4"/>
  <c r="J72" i="4"/>
  <c r="M72" i="4"/>
  <c r="E61" i="4"/>
  <c r="O126" i="4"/>
  <c r="H69" i="4"/>
  <c r="H71" i="4"/>
  <c r="I26" i="4"/>
  <c r="K24" i="4"/>
  <c r="P84" i="4"/>
  <c r="N84" i="4"/>
  <c r="G25" i="4"/>
  <c r="F61" i="4"/>
  <c r="P61" i="4"/>
  <c r="N128" i="4"/>
  <c r="G83" i="4"/>
  <c r="G140" i="18" s="1"/>
  <c r="K68" i="4"/>
  <c r="H35" i="4"/>
  <c r="I69" i="4"/>
  <c r="G127" i="4"/>
  <c r="F60" i="4"/>
  <c r="K60" i="4"/>
  <c r="E27" i="4"/>
  <c r="G71" i="4"/>
  <c r="E130" i="4"/>
  <c r="M130" i="4"/>
  <c r="E82" i="4"/>
  <c r="E25" i="4"/>
  <c r="L35" i="4"/>
  <c r="M127" i="4"/>
  <c r="J24" i="4"/>
  <c r="H84" i="4"/>
  <c r="M84" i="4"/>
  <c r="H61" i="4"/>
  <c r="O61" i="4"/>
  <c r="F83" i="4"/>
  <c r="F140" i="18" s="1"/>
  <c r="K35" i="4"/>
  <c r="E69" i="4"/>
  <c r="J127" i="4"/>
  <c r="H60" i="4"/>
  <c r="I60" i="4"/>
  <c r="I27" i="4"/>
  <c r="F27" i="4"/>
  <c r="I71" i="4"/>
  <c r="L130" i="4"/>
  <c r="N82" i="4"/>
  <c r="N139" i="18" s="1"/>
  <c r="P129" i="4"/>
  <c r="P26" i="4"/>
  <c r="G72" i="4"/>
  <c r="F73" i="4"/>
  <c r="K81" i="4"/>
  <c r="K138" i="18" s="1"/>
  <c r="I82" i="4"/>
  <c r="I139" i="18" s="1"/>
  <c r="E24" i="4"/>
  <c r="K128" i="4"/>
  <c r="M69" i="4"/>
  <c r="O60" i="4"/>
  <c r="N71" i="4"/>
  <c r="F130" i="4"/>
  <c r="E72" i="4"/>
  <c r="N81" i="4"/>
  <c r="N138" i="18" s="1"/>
  <c r="M24" i="4"/>
  <c r="J84" i="4"/>
  <c r="M25" i="4"/>
  <c r="E83" i="4"/>
  <c r="O83" i="4"/>
  <c r="O140" i="18" s="1"/>
  <c r="I68" i="4"/>
  <c r="K126" i="4"/>
  <c r="N126" i="4"/>
  <c r="J35" i="4"/>
  <c r="L69" i="4"/>
  <c r="J69" i="4"/>
  <c r="O127" i="4"/>
  <c r="J60" i="4"/>
  <c r="H70" i="4"/>
  <c r="O23" i="4"/>
  <c r="H59" i="4"/>
  <c r="I34" i="4"/>
  <c r="O70" i="4"/>
  <c r="O59" i="4"/>
  <c r="J59" i="4"/>
  <c r="H23" i="4"/>
  <c r="M70" i="4"/>
  <c r="E70" i="4"/>
  <c r="P23" i="4"/>
  <c r="E34" i="4"/>
  <c r="O34" i="4"/>
  <c r="L34" i="4"/>
  <c r="N23" i="4"/>
  <c r="P70" i="4"/>
  <c r="L70" i="4"/>
  <c r="K59" i="4"/>
  <c r="J70" i="4"/>
  <c r="F23" i="4"/>
  <c r="I59" i="4"/>
  <c r="K34" i="4"/>
  <c r="P59" i="4"/>
  <c r="G70" i="4"/>
  <c r="J34" i="4"/>
  <c r="H34" i="4"/>
  <c r="M23" i="4"/>
  <c r="F59" i="4"/>
  <c r="E59" i="4"/>
  <c r="N70" i="4"/>
  <c r="J23" i="4"/>
  <c r="N59" i="4"/>
  <c r="K23" i="4"/>
  <c r="F34" i="4"/>
  <c r="E23" i="4"/>
  <c r="M59" i="4"/>
  <c r="G34" i="4"/>
  <c r="K70" i="4"/>
  <c r="P34" i="4"/>
  <c r="I70" i="4"/>
  <c r="I23" i="4"/>
  <c r="L59" i="4"/>
  <c r="F70" i="4"/>
  <c r="G59" i="4"/>
  <c r="N34" i="4"/>
  <c r="G23" i="4"/>
  <c r="L23" i="4"/>
  <c r="M34" i="4"/>
  <c r="M125" i="4"/>
  <c r="G80" i="4"/>
  <c r="G137" i="18" s="1"/>
  <c r="I80" i="4"/>
  <c r="I137" i="18" s="1"/>
  <c r="N80" i="4"/>
  <c r="N137" i="18" s="1"/>
  <c r="J80" i="4"/>
  <c r="J137" i="18" s="1"/>
  <c r="P80" i="4"/>
  <c r="P137" i="18" s="1"/>
  <c r="O80" i="4"/>
  <c r="O137" i="18" s="1"/>
  <c r="P125" i="4"/>
  <c r="H80" i="4"/>
  <c r="H137" i="18" s="1"/>
  <c r="M80" i="4"/>
  <c r="M137" i="18" s="1"/>
  <c r="E125" i="4"/>
  <c r="F125" i="4"/>
  <c r="O125" i="4"/>
  <c r="G125" i="4"/>
  <c r="L125" i="4"/>
  <c r="E80" i="4"/>
  <c r="H125" i="4"/>
  <c r="L80" i="4"/>
  <c r="L137" i="18" s="1"/>
  <c r="I125" i="4"/>
  <c r="N125" i="4"/>
  <c r="K80" i="4"/>
  <c r="K137" i="18" s="1"/>
  <c r="J125" i="4"/>
  <c r="F80" i="4"/>
  <c r="F137" i="18" s="1"/>
  <c r="K125" i="4"/>
  <c r="H9" i="4"/>
  <c r="H8" i="4" s="1"/>
  <c r="G15" i="4"/>
  <c r="G14" i="4" s="1"/>
  <c r="G9" i="4"/>
  <c r="G8" i="4" s="1"/>
  <c r="K9" i="4"/>
  <c r="K8" i="4" s="1"/>
  <c r="J15" i="4"/>
  <c r="J14" i="4" s="1"/>
  <c r="I9" i="4"/>
  <c r="I8" i="4" s="1"/>
  <c r="N15" i="4"/>
  <c r="N14" i="4" s="1"/>
  <c r="F9" i="4"/>
  <c r="F8" i="4" s="1"/>
  <c r="P15" i="4"/>
  <c r="P14" i="4" s="1"/>
  <c r="I15" i="4"/>
  <c r="I14" i="4" s="1"/>
  <c r="P9" i="4"/>
  <c r="P8" i="4" s="1"/>
  <c r="M9" i="4"/>
  <c r="M8" i="4" s="1"/>
  <c r="L15" i="4"/>
  <c r="L14" i="4" s="1"/>
  <c r="K15" i="4"/>
  <c r="K14" i="4" s="1"/>
  <c r="E9" i="4"/>
  <c r="E8" i="4" s="1"/>
  <c r="H15" i="4"/>
  <c r="H14" i="4" s="1"/>
  <c r="E15" i="4"/>
  <c r="E14" i="4" s="1"/>
  <c r="O9" i="4"/>
  <c r="O8" i="4" s="1"/>
  <c r="N9" i="4"/>
  <c r="N8" i="4" s="1"/>
  <c r="M15" i="4"/>
  <c r="M14" i="4" s="1"/>
  <c r="L9" i="4"/>
  <c r="L8" i="4" s="1"/>
  <c r="O15" i="4"/>
  <c r="O14" i="4" s="1"/>
  <c r="F15" i="4"/>
  <c r="F14" i="4" s="1"/>
  <c r="J9" i="4"/>
  <c r="J8" i="4" s="1"/>
  <c r="F160" i="4"/>
  <c r="O160" i="4"/>
  <c r="O159" i="4" s="1"/>
  <c r="E160" i="4"/>
  <c r="I160" i="4"/>
  <c r="K160" i="4"/>
  <c r="K159" i="4" s="1"/>
  <c r="J160" i="4"/>
  <c r="J159" i="4" s="1"/>
  <c r="L160" i="4"/>
  <c r="L159" i="4" s="1"/>
  <c r="H160" i="4"/>
  <c r="H159" i="4" s="1"/>
  <c r="M160" i="4"/>
  <c r="N160" i="4"/>
  <c r="P160" i="4"/>
  <c r="G160" i="4"/>
  <c r="H43" i="3"/>
  <c r="H65" i="3"/>
  <c r="E147" i="3"/>
  <c r="G140" i="3"/>
  <c r="M177" i="5"/>
  <c r="J177" i="5"/>
  <c r="H176" i="5"/>
  <c r="H180" i="5"/>
  <c r="J176" i="5"/>
  <c r="I177" i="5"/>
  <c r="J178" i="5"/>
  <c r="L177" i="5"/>
  <c r="F178" i="5"/>
  <c r="P178" i="5"/>
  <c r="P180" i="5"/>
  <c r="J180" i="5"/>
  <c r="G178" i="5"/>
  <c r="E177" i="5"/>
  <c r="K178" i="5"/>
  <c r="L178" i="5"/>
  <c r="L176" i="5"/>
  <c r="E180" i="5"/>
  <c r="K177" i="5"/>
  <c r="H178" i="5"/>
  <c r="L180" i="5"/>
  <c r="O57" i="5"/>
  <c r="J57" i="5"/>
  <c r="K176" i="5"/>
  <c r="M176" i="5"/>
  <c r="K180" i="5"/>
  <c r="F177" i="5"/>
  <c r="M180" i="5"/>
  <c r="P176" i="5"/>
  <c r="P177" i="5"/>
  <c r="M178" i="5"/>
  <c r="L57" i="5"/>
  <c r="M179" i="5"/>
  <c r="M57" i="5"/>
  <c r="M181" i="5"/>
  <c r="N57" i="5"/>
  <c r="J179" i="5"/>
  <c r="I203" i="5"/>
  <c r="K181" i="5"/>
  <c r="L38" i="5"/>
  <c r="N37" i="5"/>
  <c r="L159" i="5"/>
  <c r="P202" i="5"/>
  <c r="I202" i="5"/>
  <c r="L160" i="5"/>
  <c r="L161" i="5"/>
  <c r="P161" i="5"/>
  <c r="G79" i="5"/>
  <c r="F176" i="5"/>
  <c r="K80" i="5"/>
  <c r="K77" i="5"/>
  <c r="G76" i="5"/>
  <c r="I178" i="5"/>
  <c r="O181" i="5"/>
  <c r="E157" i="5"/>
  <c r="I157" i="5"/>
  <c r="J96" i="5"/>
  <c r="K38" i="5"/>
  <c r="F98" i="5"/>
  <c r="P37" i="5"/>
  <c r="I37" i="5"/>
  <c r="O81" i="5"/>
  <c r="L202" i="5"/>
  <c r="O202" i="5"/>
  <c r="J160" i="5"/>
  <c r="I78" i="5"/>
  <c r="J161" i="5"/>
  <c r="O161" i="5"/>
  <c r="N191" i="5"/>
  <c r="N190" i="5" s="1"/>
  <c r="I46" i="8" s="1"/>
  <c r="O79" i="5"/>
  <c r="E176" i="5"/>
  <c r="P77" i="5"/>
  <c r="F76" i="5"/>
  <c r="K76" i="5"/>
  <c r="M158" i="5"/>
  <c r="O178" i="5"/>
  <c r="N181" i="5"/>
  <c r="F157" i="5"/>
  <c r="K157" i="5"/>
  <c r="L179" i="5"/>
  <c r="K96" i="5"/>
  <c r="E57" i="5"/>
  <c r="E203" i="5"/>
  <c r="H203" i="5"/>
  <c r="P38" i="5"/>
  <c r="P159" i="5"/>
  <c r="N202" i="5"/>
  <c r="I160" i="5"/>
  <c r="J78" i="5"/>
  <c r="J191" i="5"/>
  <c r="J190" i="5" s="1"/>
  <c r="E46" i="8" s="1"/>
  <c r="N79" i="5"/>
  <c r="O77" i="5"/>
  <c r="E76" i="5"/>
  <c r="K158" i="5"/>
  <c r="O176" i="5"/>
  <c r="N178" i="5"/>
  <c r="N157" i="5"/>
  <c r="H179" i="5"/>
  <c r="L96" i="5"/>
  <c r="G57" i="5"/>
  <c r="G203" i="5"/>
  <c r="I181" i="5"/>
  <c r="K98" i="5"/>
  <c r="O37" i="5"/>
  <c r="J81" i="5"/>
  <c r="K202" i="5"/>
  <c r="J202" i="5"/>
  <c r="K160" i="5"/>
  <c r="O78" i="5"/>
  <c r="G161" i="5"/>
  <c r="I191" i="5"/>
  <c r="I190" i="5" s="1"/>
  <c r="D46" i="8" s="1"/>
  <c r="M191" i="5"/>
  <c r="M190" i="5" s="1"/>
  <c r="H46" i="8" s="1"/>
  <c r="K79" i="5"/>
  <c r="P80" i="5"/>
  <c r="L80" i="5"/>
  <c r="H77" i="5"/>
  <c r="L158" i="5"/>
  <c r="O177" i="5"/>
  <c r="N179" i="5"/>
  <c r="M157" i="5"/>
  <c r="P179" i="5"/>
  <c r="F57" i="5"/>
  <c r="O203" i="5"/>
  <c r="F181" i="5"/>
  <c r="E38" i="5"/>
  <c r="N38" i="5"/>
  <c r="G98" i="5"/>
  <c r="J37" i="5"/>
  <c r="P81" i="5"/>
  <c r="N81" i="5"/>
  <c r="H159" i="5"/>
  <c r="P160" i="5"/>
  <c r="H160" i="5"/>
  <c r="K161" i="5"/>
  <c r="K191" i="5"/>
  <c r="K190" i="5" s="1"/>
  <c r="F46" i="8" s="1"/>
  <c r="L191" i="5"/>
  <c r="L190" i="5" s="1"/>
  <c r="G46" i="8" s="1"/>
  <c r="J79" i="5"/>
  <c r="F80" i="5"/>
  <c r="O80" i="5"/>
  <c r="M76" i="5"/>
  <c r="I76" i="5"/>
  <c r="O180" i="5"/>
  <c r="N176" i="5"/>
  <c r="H157" i="5"/>
  <c r="M96" i="5"/>
  <c r="N203" i="5"/>
  <c r="J181" i="5"/>
  <c r="G38" i="5"/>
  <c r="I38" i="5"/>
  <c r="G37" i="5"/>
  <c r="E81" i="5"/>
  <c r="I81" i="5"/>
  <c r="N159" i="5"/>
  <c r="G202" i="5"/>
  <c r="G201" i="5" s="1"/>
  <c r="B50" i="8" s="1"/>
  <c r="E160" i="5"/>
  <c r="H161" i="5"/>
  <c r="H191" i="5"/>
  <c r="H190" i="5" s="1"/>
  <c r="C46" i="8" s="1"/>
  <c r="I79" i="5"/>
  <c r="J80" i="5"/>
  <c r="M80" i="5"/>
  <c r="E77" i="5"/>
  <c r="L76" i="5"/>
  <c r="J158" i="5"/>
  <c r="O179" i="5"/>
  <c r="N177" i="5"/>
  <c r="P157" i="5"/>
  <c r="K179" i="5"/>
  <c r="N96" i="5"/>
  <c r="P57" i="5"/>
  <c r="M203" i="5"/>
  <c r="H181" i="5"/>
  <c r="F38" i="5"/>
  <c r="H38" i="5"/>
  <c r="H98" i="5"/>
  <c r="L37" i="5"/>
  <c r="F81" i="5"/>
  <c r="M81" i="5"/>
  <c r="M159" i="5"/>
  <c r="N160" i="5"/>
  <c r="F160" i="5"/>
  <c r="M78" i="5"/>
  <c r="G191" i="5"/>
  <c r="G190" i="5" s="1"/>
  <c r="B46" i="8" s="1"/>
  <c r="F180" i="5"/>
  <c r="I80" i="5"/>
  <c r="M77" i="5"/>
  <c r="O76" i="5"/>
  <c r="I158" i="5"/>
  <c r="N180" i="5"/>
  <c r="E179" i="5"/>
  <c r="G96" i="5"/>
  <c r="O96" i="5"/>
  <c r="H57" i="5"/>
  <c r="K203" i="5"/>
  <c r="O38" i="5"/>
  <c r="M98" i="5"/>
  <c r="E98" i="5"/>
  <c r="H37" i="5"/>
  <c r="H81" i="5"/>
  <c r="H177" i="5"/>
  <c r="I159" i="5"/>
  <c r="F202" i="5"/>
  <c r="P78" i="5"/>
  <c r="K78" i="5"/>
  <c r="E161" i="5"/>
  <c r="F191" i="5"/>
  <c r="F190" i="5" s="1"/>
  <c r="G180" i="5"/>
  <c r="H80" i="5"/>
  <c r="G77" i="5"/>
  <c r="N77" i="5"/>
  <c r="L157" i="5"/>
  <c r="F96" i="5"/>
  <c r="J157" i="5"/>
  <c r="H96" i="5"/>
  <c r="P96" i="5"/>
  <c r="I57" i="5"/>
  <c r="J203" i="5"/>
  <c r="E181" i="5"/>
  <c r="L98" i="5"/>
  <c r="J98" i="5"/>
  <c r="L81" i="5"/>
  <c r="O159" i="5"/>
  <c r="H202" i="5"/>
  <c r="E78" i="5"/>
  <c r="G78" i="5"/>
  <c r="I161" i="5"/>
  <c r="P191" i="5"/>
  <c r="P190" i="5" s="1"/>
  <c r="K46" i="8" s="1"/>
  <c r="F79" i="5"/>
  <c r="P79" i="5"/>
  <c r="N80" i="5"/>
  <c r="L77" i="5"/>
  <c r="H76" i="5"/>
  <c r="E158" i="5"/>
  <c r="N158" i="5"/>
  <c r="I179" i="5"/>
  <c r="O157" i="5"/>
  <c r="F179" i="5"/>
  <c r="E96" i="5"/>
  <c r="E178" i="5"/>
  <c r="P203" i="5"/>
  <c r="G181" i="5"/>
  <c r="J38" i="5"/>
  <c r="O98" i="5"/>
  <c r="E37" i="5"/>
  <c r="K81" i="5"/>
  <c r="E159" i="5"/>
  <c r="K159" i="5"/>
  <c r="M202" i="5"/>
  <c r="M160" i="5"/>
  <c r="H78" i="5"/>
  <c r="I180" i="5"/>
  <c r="N161" i="5"/>
  <c r="L79" i="5"/>
  <c r="M79" i="5"/>
  <c r="E80" i="5"/>
  <c r="J76" i="5"/>
  <c r="H158" i="5"/>
  <c r="O158" i="5"/>
  <c r="I176" i="5"/>
  <c r="J159" i="5"/>
  <c r="F158" i="5"/>
  <c r="P158" i="5"/>
  <c r="G157" i="5"/>
  <c r="G179" i="5"/>
  <c r="I96" i="5"/>
  <c r="L203" i="5"/>
  <c r="P181" i="5"/>
  <c r="M38" i="5"/>
  <c r="P98" i="5"/>
  <c r="F37" i="5"/>
  <c r="M37" i="5"/>
  <c r="F159" i="5"/>
  <c r="O160" i="5"/>
  <c r="L78" i="5"/>
  <c r="M161" i="5"/>
  <c r="O191" i="5"/>
  <c r="O190" i="5" s="1"/>
  <c r="J46" i="8" s="1"/>
  <c r="H79" i="5"/>
  <c r="G176" i="5"/>
  <c r="I77" i="5"/>
  <c r="N76" i="5"/>
  <c r="K37" i="5"/>
  <c r="E191" i="5"/>
  <c r="E190" i="5" s="1"/>
  <c r="P76" i="5"/>
  <c r="I98" i="5"/>
  <c r="E79" i="5"/>
  <c r="G81" i="5"/>
  <c r="N78" i="5"/>
  <c r="G177" i="5"/>
  <c r="G158" i="5"/>
  <c r="G159" i="5"/>
  <c r="G80" i="5"/>
  <c r="N98" i="5"/>
  <c r="K57" i="5"/>
  <c r="F77" i="5"/>
  <c r="F203" i="5"/>
  <c r="E202" i="5"/>
  <c r="E201" i="5" s="1"/>
  <c r="J77" i="5"/>
  <c r="F78" i="5"/>
  <c r="L181" i="5"/>
  <c r="G160" i="5"/>
  <c r="F161" i="5"/>
  <c r="O156" i="5"/>
  <c r="I136" i="5"/>
  <c r="K97" i="5"/>
  <c r="G97" i="5"/>
  <c r="H156" i="5"/>
  <c r="E97" i="5"/>
  <c r="P136" i="5"/>
  <c r="I156" i="5"/>
  <c r="E156" i="5"/>
  <c r="N156" i="5"/>
  <c r="J136" i="5"/>
  <c r="L97" i="5"/>
  <c r="H136" i="5"/>
  <c r="P156" i="5"/>
  <c r="K136" i="5"/>
  <c r="M97" i="5"/>
  <c r="G156" i="5"/>
  <c r="F136" i="5"/>
  <c r="N97" i="5"/>
  <c r="L136" i="5"/>
  <c r="O97" i="5"/>
  <c r="K156" i="5"/>
  <c r="M136" i="5"/>
  <c r="P97" i="5"/>
  <c r="M156" i="5"/>
  <c r="L156" i="5"/>
  <c r="G136" i="5"/>
  <c r="N136" i="5"/>
  <c r="H97" i="5"/>
  <c r="F97" i="5"/>
  <c r="J156" i="5"/>
  <c r="O136" i="5"/>
  <c r="I97" i="5"/>
  <c r="E136" i="5"/>
  <c r="F156" i="5"/>
  <c r="J97" i="5"/>
  <c r="K243" i="5"/>
  <c r="K242" i="5" s="1"/>
  <c r="M243" i="5"/>
  <c r="M242" i="5" s="1"/>
  <c r="P253" i="5"/>
  <c r="P252" i="5" s="1"/>
  <c r="N253" i="5"/>
  <c r="N252" i="5" s="1"/>
  <c r="L243" i="5"/>
  <c r="L242" i="5" s="1"/>
  <c r="E253" i="5"/>
  <c r="E252" i="5" s="1"/>
  <c r="G253" i="5"/>
  <c r="G252" i="5" s="1"/>
  <c r="F243" i="5"/>
  <c r="F242" i="5" s="1"/>
  <c r="H243" i="5"/>
  <c r="H242" i="5" s="1"/>
  <c r="E243" i="5"/>
  <c r="E242" i="5" s="1"/>
  <c r="F253" i="5"/>
  <c r="F252" i="5" s="1"/>
  <c r="I253" i="5"/>
  <c r="I252" i="5" s="1"/>
  <c r="L253" i="5"/>
  <c r="L252" i="5" s="1"/>
  <c r="H253" i="5"/>
  <c r="H252" i="5" s="1"/>
  <c r="O243" i="5"/>
  <c r="O242" i="5" s="1"/>
  <c r="P243" i="5"/>
  <c r="P242" i="5" s="1"/>
  <c r="O253" i="5"/>
  <c r="O252" i="5" s="1"/>
  <c r="G243" i="5"/>
  <c r="G242" i="5" s="1"/>
  <c r="M253" i="5"/>
  <c r="M252" i="5" s="1"/>
  <c r="J243" i="5"/>
  <c r="J242" i="5" s="1"/>
  <c r="I243" i="5"/>
  <c r="I242" i="5" s="1"/>
  <c r="J253" i="5"/>
  <c r="J252" i="5" s="1"/>
  <c r="K253" i="5"/>
  <c r="K252" i="5" s="1"/>
  <c r="N243" i="5"/>
  <c r="N242" i="5" s="1"/>
  <c r="P139" i="5"/>
  <c r="L139" i="5"/>
  <c r="H223" i="5"/>
  <c r="F219" i="5"/>
  <c r="O117" i="5"/>
  <c r="E140" i="5"/>
  <c r="M101" i="5"/>
  <c r="H138" i="5"/>
  <c r="G120" i="5"/>
  <c r="I141" i="5"/>
  <c r="O59" i="5"/>
  <c r="N121" i="5"/>
  <c r="O119" i="5"/>
  <c r="L222" i="5"/>
  <c r="L60" i="5"/>
  <c r="M221" i="5"/>
  <c r="I43" i="5"/>
  <c r="H116" i="5"/>
  <c r="I116" i="5"/>
  <c r="F40" i="5"/>
  <c r="L40" i="5"/>
  <c r="K60" i="5"/>
  <c r="O220" i="5"/>
  <c r="P42" i="5"/>
  <c r="K116" i="5"/>
  <c r="K40" i="5"/>
  <c r="H43" i="5"/>
  <c r="P219" i="5"/>
  <c r="P121" i="5"/>
  <c r="G42" i="5"/>
  <c r="I40" i="5"/>
  <c r="J223" i="5"/>
  <c r="P140" i="5"/>
  <c r="P61" i="5"/>
  <c r="G139" i="5"/>
  <c r="N139" i="5"/>
  <c r="N223" i="5"/>
  <c r="N219" i="5"/>
  <c r="L117" i="5"/>
  <c r="I140" i="5"/>
  <c r="E101" i="5"/>
  <c r="E138" i="5"/>
  <c r="F120" i="5"/>
  <c r="H100" i="5"/>
  <c r="P141" i="5"/>
  <c r="M59" i="5"/>
  <c r="M121" i="5"/>
  <c r="M222" i="5"/>
  <c r="M220" i="5"/>
  <c r="J41" i="5"/>
  <c r="J221" i="5"/>
  <c r="G221" i="5"/>
  <c r="P43" i="5"/>
  <c r="I42" i="5"/>
  <c r="O116" i="5"/>
  <c r="L116" i="5"/>
  <c r="J40" i="5"/>
  <c r="O42" i="5"/>
  <c r="N221" i="5"/>
  <c r="J43" i="5"/>
  <c r="H40" i="5"/>
  <c r="O40" i="5"/>
  <c r="M120" i="5"/>
  <c r="P119" i="5"/>
  <c r="L220" i="5"/>
  <c r="K139" i="5"/>
  <c r="H140" i="5"/>
  <c r="G100" i="5"/>
  <c r="H121" i="5"/>
  <c r="N222" i="5"/>
  <c r="G116" i="5"/>
  <c r="O61" i="5"/>
  <c r="P223" i="5"/>
  <c r="L223" i="5"/>
  <c r="M219" i="5"/>
  <c r="M117" i="5"/>
  <c r="F140" i="5"/>
  <c r="G101" i="5"/>
  <c r="M138" i="5"/>
  <c r="L138" i="5"/>
  <c r="E100" i="5"/>
  <c r="J141" i="5"/>
  <c r="K121" i="5"/>
  <c r="K119" i="5"/>
  <c r="I222" i="5"/>
  <c r="K222" i="5"/>
  <c r="O60" i="5"/>
  <c r="I220" i="5"/>
  <c r="P221" i="5"/>
  <c r="I61" i="5"/>
  <c r="F139" i="5"/>
  <c r="K223" i="5"/>
  <c r="I223" i="5"/>
  <c r="K219" i="5"/>
  <c r="E117" i="5"/>
  <c r="P117" i="5"/>
  <c r="J140" i="5"/>
  <c r="N101" i="5"/>
  <c r="N138" i="5"/>
  <c r="I138" i="5"/>
  <c r="O120" i="5"/>
  <c r="I100" i="5"/>
  <c r="J119" i="5"/>
  <c r="H222" i="5"/>
  <c r="J222" i="5"/>
  <c r="J220" i="5"/>
  <c r="P41" i="5"/>
  <c r="H221" i="5"/>
  <c r="H42" i="5"/>
  <c r="N116" i="5"/>
  <c r="E40" i="5"/>
  <c r="J138" i="5"/>
  <c r="J100" i="5"/>
  <c r="I121" i="5"/>
  <c r="E119" i="5"/>
  <c r="F43" i="5"/>
  <c r="O219" i="5"/>
  <c r="N61" i="5"/>
  <c r="F223" i="5"/>
  <c r="O223" i="5"/>
  <c r="J219" i="5"/>
  <c r="F117" i="5"/>
  <c r="O101" i="5"/>
  <c r="O138" i="5"/>
  <c r="L141" i="5"/>
  <c r="E59" i="5"/>
  <c r="F119" i="5"/>
  <c r="O41" i="5"/>
  <c r="P60" i="5"/>
  <c r="M116" i="5"/>
  <c r="O139" i="5"/>
  <c r="M61" i="5"/>
  <c r="M139" i="5"/>
  <c r="E223" i="5"/>
  <c r="J117" i="5"/>
  <c r="K140" i="5"/>
  <c r="P101" i="5"/>
  <c r="K138" i="5"/>
  <c r="E120" i="5"/>
  <c r="H120" i="5"/>
  <c r="K100" i="5"/>
  <c r="H141" i="5"/>
  <c r="G59" i="5"/>
  <c r="P59" i="5"/>
  <c r="L121" i="5"/>
  <c r="M119" i="5"/>
  <c r="G222" i="5"/>
  <c r="E60" i="5"/>
  <c r="J60" i="5"/>
  <c r="P220" i="5"/>
  <c r="N220" i="5"/>
  <c r="L41" i="5"/>
  <c r="O221" i="5"/>
  <c r="E43" i="5"/>
  <c r="K43" i="5"/>
  <c r="J116" i="5"/>
  <c r="G60" i="5"/>
  <c r="E220" i="5"/>
  <c r="M41" i="5"/>
  <c r="I221" i="5"/>
  <c r="L43" i="5"/>
  <c r="M42" i="5"/>
  <c r="O141" i="5"/>
  <c r="F221" i="5"/>
  <c r="J61" i="5"/>
  <c r="G61" i="5"/>
  <c r="K61" i="5"/>
  <c r="E139" i="5"/>
  <c r="M223" i="5"/>
  <c r="E219" i="5"/>
  <c r="I117" i="5"/>
  <c r="P138" i="5"/>
  <c r="P120" i="5"/>
  <c r="L100" i="5"/>
  <c r="G141" i="5"/>
  <c r="K141" i="5"/>
  <c r="F59" i="5"/>
  <c r="J59" i="5"/>
  <c r="G121" i="5"/>
  <c r="G119" i="5"/>
  <c r="N119" i="5"/>
  <c r="M60" i="5"/>
  <c r="J139" i="5"/>
  <c r="O100" i="5"/>
  <c r="K59" i="5"/>
  <c r="F116" i="5"/>
  <c r="H101" i="5"/>
  <c r="P100" i="5"/>
  <c r="E141" i="5"/>
  <c r="L59" i="5"/>
  <c r="I119" i="5"/>
  <c r="H220" i="5"/>
  <c r="N40" i="5"/>
  <c r="E61" i="5"/>
  <c r="L61" i="5"/>
  <c r="H219" i="5"/>
  <c r="H117" i="5"/>
  <c r="L140" i="5"/>
  <c r="J101" i="5"/>
  <c r="L120" i="5"/>
  <c r="I120" i="5"/>
  <c r="M100" i="5"/>
  <c r="F141" i="5"/>
  <c r="H59" i="5"/>
  <c r="E121" i="5"/>
  <c r="L119" i="5"/>
  <c r="E222" i="5"/>
  <c r="F60" i="5"/>
  <c r="N60" i="5"/>
  <c r="F220" i="5"/>
  <c r="K220" i="5"/>
  <c r="I41" i="5"/>
  <c r="E221" i="5"/>
  <c r="O43" i="5"/>
  <c r="F42" i="5"/>
  <c r="L42" i="5"/>
  <c r="M40" i="5"/>
  <c r="P116" i="5"/>
  <c r="F100" i="5"/>
  <c r="N59" i="5"/>
  <c r="E41" i="5"/>
  <c r="J42" i="5"/>
  <c r="N117" i="5"/>
  <c r="O140" i="5"/>
  <c r="L101" i="5"/>
  <c r="G138" i="5"/>
  <c r="I60" i="5"/>
  <c r="H41" i="5"/>
  <c r="L221" i="5"/>
  <c r="E116" i="5"/>
  <c r="F61" i="5"/>
  <c r="H139" i="5"/>
  <c r="G223" i="5"/>
  <c r="I219" i="5"/>
  <c r="G117" i="5"/>
  <c r="M140" i="5"/>
  <c r="F101" i="5"/>
  <c r="F138" i="5"/>
  <c r="N120" i="5"/>
  <c r="N100" i="5"/>
  <c r="M141" i="5"/>
  <c r="I59" i="5"/>
  <c r="J121" i="5"/>
  <c r="F121" i="5"/>
  <c r="F222" i="5"/>
  <c r="F41" i="5"/>
  <c r="G41" i="5"/>
  <c r="K221" i="5"/>
  <c r="G43" i="5"/>
  <c r="E42" i="5"/>
  <c r="N42" i="5"/>
  <c r="P40" i="5"/>
  <c r="O121" i="5"/>
  <c r="H119" i="5"/>
  <c r="H60" i="5"/>
  <c r="O222" i="5"/>
  <c r="K41" i="5"/>
  <c r="M43" i="5"/>
  <c r="K120" i="5"/>
  <c r="H61" i="5"/>
  <c r="I139" i="5"/>
  <c r="G219" i="5"/>
  <c r="K117" i="5"/>
  <c r="G140" i="5"/>
  <c r="N140" i="5"/>
  <c r="K101" i="5"/>
  <c r="I101" i="5"/>
  <c r="J120" i="5"/>
  <c r="N141" i="5"/>
  <c r="P222" i="5"/>
  <c r="G220" i="5"/>
  <c r="N41" i="5"/>
  <c r="N43" i="5"/>
  <c r="K42" i="5"/>
  <c r="G40" i="5"/>
  <c r="L219" i="5"/>
  <c r="E118" i="5"/>
  <c r="F118" i="5"/>
  <c r="H39" i="5"/>
  <c r="I99" i="5"/>
  <c r="P39" i="5"/>
  <c r="H118" i="5"/>
  <c r="O118" i="5"/>
  <c r="O58" i="5"/>
  <c r="J99" i="5"/>
  <c r="L99" i="5"/>
  <c r="J118" i="5"/>
  <c r="M118" i="5"/>
  <c r="M58" i="5"/>
  <c r="N39" i="5"/>
  <c r="P99" i="5"/>
  <c r="K99" i="5"/>
  <c r="O99" i="5"/>
  <c r="O39" i="5"/>
  <c r="M99" i="5"/>
  <c r="P118" i="5"/>
  <c r="J58" i="5"/>
  <c r="N58" i="5"/>
  <c r="N118" i="5"/>
  <c r="I118" i="5"/>
  <c r="L58" i="5"/>
  <c r="L39" i="5"/>
  <c r="N99" i="5"/>
  <c r="K118" i="5"/>
  <c r="E39" i="5"/>
  <c r="F99" i="5"/>
  <c r="K58" i="5"/>
  <c r="H99" i="5"/>
  <c r="F58" i="5"/>
  <c r="E99" i="5"/>
  <c r="L118" i="5"/>
  <c r="H58" i="5"/>
  <c r="F39" i="5"/>
  <c r="J39" i="5"/>
  <c r="G118" i="5"/>
  <c r="P58" i="5"/>
  <c r="G39" i="5"/>
  <c r="M39" i="5"/>
  <c r="G99" i="5"/>
  <c r="I58" i="5"/>
  <c r="G58" i="5"/>
  <c r="K39" i="5"/>
  <c r="E58" i="5"/>
  <c r="I39" i="5"/>
  <c r="J137" i="5"/>
  <c r="I137" i="5"/>
  <c r="H218" i="5"/>
  <c r="H137" i="5"/>
  <c r="G137" i="5"/>
  <c r="L218" i="5"/>
  <c r="K137" i="5"/>
  <c r="K218" i="5"/>
  <c r="F137" i="5"/>
  <c r="N218" i="5"/>
  <c r="E137" i="5"/>
  <c r="M218" i="5"/>
  <c r="I218" i="5"/>
  <c r="L137" i="5"/>
  <c r="F218" i="5"/>
  <c r="M137" i="5"/>
  <c r="G218" i="5"/>
  <c r="N137" i="5"/>
  <c r="P218" i="5"/>
  <c r="O218" i="5"/>
  <c r="O137" i="5"/>
  <c r="J218" i="5"/>
  <c r="P137" i="5"/>
  <c r="E218" i="5"/>
  <c r="E21" i="5"/>
  <c r="E20" i="5" s="1"/>
  <c r="L11" i="5"/>
  <c r="L10" i="5" s="1"/>
  <c r="O21" i="5"/>
  <c r="O20" i="5" s="1"/>
  <c r="G21" i="5"/>
  <c r="G20" i="5" s="1"/>
  <c r="J11" i="5"/>
  <c r="J10" i="5" s="1"/>
  <c r="N21" i="5"/>
  <c r="N20" i="5" s="1"/>
  <c r="P11" i="5"/>
  <c r="P10" i="5" s="1"/>
  <c r="M21" i="5"/>
  <c r="M20" i="5" s="1"/>
  <c r="F11" i="5"/>
  <c r="F10" i="5" s="1"/>
  <c r="I11" i="5"/>
  <c r="I10" i="5" s="1"/>
  <c r="F21" i="5"/>
  <c r="F20" i="5" s="1"/>
  <c r="H11" i="5"/>
  <c r="H10" i="5" s="1"/>
  <c r="L21" i="5"/>
  <c r="L20" i="5" s="1"/>
  <c r="G11" i="5"/>
  <c r="G10" i="5" s="1"/>
  <c r="K21" i="5"/>
  <c r="K20" i="5" s="1"/>
  <c r="E11" i="5"/>
  <c r="E10" i="5" s="1"/>
  <c r="O11" i="5"/>
  <c r="O10" i="5" s="1"/>
  <c r="J21" i="5"/>
  <c r="J20" i="5" s="1"/>
  <c r="H21" i="5"/>
  <c r="H20" i="5" s="1"/>
  <c r="M11" i="5"/>
  <c r="M10" i="5" s="1"/>
  <c r="I21" i="5"/>
  <c r="I20" i="5" s="1"/>
  <c r="K11" i="5"/>
  <c r="K10" i="5" s="1"/>
  <c r="N11" i="5"/>
  <c r="N10" i="5" s="1"/>
  <c r="P21" i="5"/>
  <c r="P20" i="5" s="1"/>
  <c r="P263" i="5"/>
  <c r="P262" i="5" s="1"/>
  <c r="L263" i="5"/>
  <c r="L262" i="5" s="1"/>
  <c r="F263" i="5"/>
  <c r="F262" i="5" s="1"/>
  <c r="E263" i="5"/>
  <c r="E262" i="5" s="1"/>
  <c r="J263" i="5"/>
  <c r="J262" i="5" s="1"/>
  <c r="G263" i="5"/>
  <c r="G262" i="5" s="1"/>
  <c r="O263" i="5"/>
  <c r="O262" i="5" s="1"/>
  <c r="K263" i="5"/>
  <c r="K262" i="5" s="1"/>
  <c r="I263" i="5"/>
  <c r="I262" i="5" s="1"/>
  <c r="N263" i="5"/>
  <c r="N262" i="5" s="1"/>
  <c r="M263" i="5"/>
  <c r="M262" i="5" s="1"/>
  <c r="H263" i="5"/>
  <c r="H262" i="5" s="1"/>
  <c r="H274" i="5"/>
  <c r="H273" i="5" s="1"/>
  <c r="L274" i="5"/>
  <c r="L273" i="5" s="1"/>
  <c r="I274" i="5"/>
  <c r="I273" i="5" s="1"/>
  <c r="P274" i="5"/>
  <c r="P273" i="5" s="1"/>
  <c r="F274" i="5"/>
  <c r="F273" i="5" s="1"/>
  <c r="M274" i="5"/>
  <c r="M273" i="5" s="1"/>
  <c r="E274" i="5"/>
  <c r="E273" i="5" s="1"/>
  <c r="G274" i="5"/>
  <c r="G273" i="5" s="1"/>
  <c r="O274" i="5"/>
  <c r="O273" i="5" s="1"/>
  <c r="J274" i="5"/>
  <c r="J273" i="5" s="1"/>
  <c r="K274" i="5"/>
  <c r="K273" i="5" s="1"/>
  <c r="N274" i="5"/>
  <c r="N273" i="5" s="1"/>
  <c r="K284" i="5"/>
  <c r="K283" i="5" s="1"/>
  <c r="L284" i="5"/>
  <c r="L283" i="5" s="1"/>
  <c r="N284" i="5"/>
  <c r="N283" i="5" s="1"/>
  <c r="O284" i="5"/>
  <c r="O283" i="5" s="1"/>
  <c r="E284" i="5"/>
  <c r="E283" i="5" s="1"/>
  <c r="F284" i="5"/>
  <c r="F283" i="5" s="1"/>
  <c r="H284" i="5"/>
  <c r="H283" i="5" s="1"/>
  <c r="J284" i="5"/>
  <c r="J283" i="5" s="1"/>
  <c r="G284" i="5"/>
  <c r="G283" i="5" s="1"/>
  <c r="M284" i="5"/>
  <c r="M283" i="5" s="1"/>
  <c r="I284" i="5"/>
  <c r="I283" i="5" s="1"/>
  <c r="P284" i="5"/>
  <c r="P283" i="5" s="1"/>
  <c r="M294" i="5"/>
  <c r="M293" i="5" s="1"/>
  <c r="G294" i="5"/>
  <c r="G293" i="5" s="1"/>
  <c r="E294" i="5"/>
  <c r="E293" i="5" s="1"/>
  <c r="H294" i="5"/>
  <c r="H293" i="5" s="1"/>
  <c r="J294" i="5"/>
  <c r="J293" i="5" s="1"/>
  <c r="L294" i="5"/>
  <c r="L293" i="5" s="1"/>
  <c r="I294" i="5"/>
  <c r="I293" i="5" s="1"/>
  <c r="K294" i="5"/>
  <c r="K293" i="5" s="1"/>
  <c r="N294" i="5"/>
  <c r="N293" i="5" s="1"/>
  <c r="P294" i="5"/>
  <c r="P293" i="5" s="1"/>
  <c r="O294" i="5"/>
  <c r="O293" i="5" s="1"/>
  <c r="F294" i="5"/>
  <c r="F293" i="5" s="1"/>
  <c r="O304" i="5"/>
  <c r="O303" i="5" s="1"/>
  <c r="M304" i="5"/>
  <c r="M303" i="5" s="1"/>
  <c r="K304" i="5"/>
  <c r="K303" i="5" s="1"/>
  <c r="L304" i="5"/>
  <c r="L303" i="5" s="1"/>
  <c r="J304" i="5"/>
  <c r="J303" i="5" s="1"/>
  <c r="G304" i="5"/>
  <c r="G303" i="5" s="1"/>
  <c r="P304" i="5"/>
  <c r="P303" i="5" s="1"/>
  <c r="F304" i="5"/>
  <c r="F303" i="5" s="1"/>
  <c r="I304" i="5"/>
  <c r="I303" i="5" s="1"/>
  <c r="E304" i="5"/>
  <c r="E303" i="5" s="1"/>
  <c r="N304" i="5"/>
  <c r="N303" i="5" s="1"/>
  <c r="H304" i="5"/>
  <c r="H303" i="5" s="1"/>
  <c r="G183" i="2"/>
  <c r="G176" i="2"/>
  <c r="I176" i="2"/>
  <c r="I183" i="2"/>
  <c r="D176" i="2"/>
  <c r="D183" i="2"/>
  <c r="F183" i="2"/>
  <c r="F176" i="2"/>
  <c r="O183" i="2"/>
  <c r="O176" i="2"/>
  <c r="M183" i="2"/>
  <c r="M176" i="2"/>
  <c r="L183" i="2"/>
  <c r="L176" i="2"/>
  <c r="K176" i="2"/>
  <c r="K183" i="2"/>
  <c r="N183" i="2"/>
  <c r="N176" i="2"/>
  <c r="H176" i="2"/>
  <c r="H183" i="2"/>
  <c r="J176" i="2"/>
  <c r="J183" i="2"/>
  <c r="E176" i="2"/>
  <c r="E183" i="2"/>
  <c r="K140" i="2"/>
  <c r="O170" i="2"/>
  <c r="F170" i="2"/>
  <c r="H112" i="2"/>
  <c r="J170" i="2"/>
  <c r="H170" i="2"/>
  <c r="I170" i="2"/>
  <c r="N170" i="2"/>
  <c r="M170" i="2"/>
  <c r="K170" i="2"/>
  <c r="G170" i="2"/>
  <c r="L170" i="2"/>
  <c r="E170" i="2"/>
  <c r="N112" i="2"/>
  <c r="H140" i="2"/>
  <c r="L101" i="2"/>
  <c r="M101" i="2"/>
  <c r="D101" i="2"/>
  <c r="N101" i="2"/>
  <c r="I112" i="2"/>
  <c r="H101" i="2"/>
  <c r="O101" i="2"/>
  <c r="F101" i="2"/>
  <c r="D112" i="2"/>
  <c r="J101" i="2"/>
  <c r="M112" i="2"/>
  <c r="G112" i="2"/>
  <c r="E112" i="2"/>
  <c r="I101" i="2"/>
  <c r="E101" i="2"/>
  <c r="F112" i="2"/>
  <c r="J112" i="2"/>
  <c r="G101" i="2"/>
  <c r="O112" i="2"/>
  <c r="K112" i="2"/>
  <c r="L112" i="2"/>
  <c r="K101" i="2"/>
  <c r="M140" i="2"/>
  <c r="O140" i="2"/>
  <c r="D123" i="2"/>
  <c r="J140" i="2"/>
  <c r="E140" i="2"/>
  <c r="G140" i="2"/>
  <c r="L140" i="2"/>
  <c r="N140" i="2"/>
  <c r="F140" i="2"/>
  <c r="I140" i="2"/>
  <c r="D140" i="2"/>
  <c r="L65" i="2"/>
  <c r="H65" i="2"/>
  <c r="N65" i="2"/>
  <c r="G65" i="2"/>
  <c r="O65" i="2"/>
  <c r="I65" i="2"/>
  <c r="D65" i="2"/>
  <c r="F65" i="2"/>
  <c r="K65" i="2"/>
  <c r="J65" i="2"/>
  <c r="E65" i="2"/>
  <c r="M65" i="2"/>
  <c r="D78" i="2"/>
  <c r="J55" i="2"/>
  <c r="K78" i="2"/>
  <c r="O78" i="2"/>
  <c r="O90" i="2"/>
  <c r="M55" i="2"/>
  <c r="I90" i="2"/>
  <c r="H55" i="2"/>
  <c r="E43" i="2"/>
  <c r="I55" i="2"/>
  <c r="I147" i="2"/>
  <c r="N55" i="2"/>
  <c r="I43" i="2"/>
  <c r="N90" i="2"/>
  <c r="J43" i="2"/>
  <c r="L90" i="2"/>
  <c r="O55" i="2"/>
  <c r="H147" i="2"/>
  <c r="N147" i="2"/>
  <c r="J90" i="2"/>
  <c r="L78" i="2"/>
  <c r="O123" i="2"/>
  <c r="N43" i="2"/>
  <c r="G43" i="2"/>
  <c r="N78" i="2"/>
  <c r="H43" i="2"/>
  <c r="K90" i="2"/>
  <c r="L55" i="2"/>
  <c r="M90" i="2"/>
  <c r="F90" i="2"/>
  <c r="G147" i="2"/>
  <c r="H123" i="2"/>
  <c r="L123" i="2"/>
  <c r="H78" i="2"/>
  <c r="G78" i="2"/>
  <c r="L43" i="2"/>
  <c r="F78" i="2"/>
  <c r="O147" i="2"/>
  <c r="F123" i="2"/>
  <c r="G123" i="2"/>
  <c r="I123" i="2"/>
  <c r="E123" i="2"/>
  <c r="F43" i="2"/>
  <c r="E78" i="2"/>
  <c r="G55" i="2"/>
  <c r="M78" i="2"/>
  <c r="D90" i="2"/>
  <c r="J147" i="2"/>
  <c r="N123" i="2"/>
  <c r="M43" i="2"/>
  <c r="D55" i="2"/>
  <c r="K55" i="2"/>
  <c r="G90" i="2"/>
  <c r="I78" i="2"/>
  <c r="D43" i="2"/>
  <c r="J78" i="2"/>
  <c r="E147" i="2"/>
  <c r="M147" i="2"/>
  <c r="K43" i="2"/>
  <c r="E55" i="2"/>
  <c r="F55" i="2"/>
  <c r="E90" i="2"/>
  <c r="F147" i="2"/>
  <c r="J123" i="2"/>
  <c r="O43" i="2"/>
  <c r="K147" i="2"/>
  <c r="L147" i="2"/>
  <c r="M123" i="2"/>
  <c r="K123" i="2"/>
  <c r="H90" i="2"/>
  <c r="A56" i="9"/>
  <c r="A52" i="9"/>
  <c r="A55" i="9"/>
  <c r="A53" i="9"/>
  <c r="O124" i="4" l="1"/>
  <c r="L42" i="4"/>
  <c r="M117" i="4"/>
  <c r="H117" i="4"/>
  <c r="I155" i="5"/>
  <c r="J124" i="4"/>
  <c r="M201" i="5"/>
  <c r="H50" i="8" s="1"/>
  <c r="F217" i="5"/>
  <c r="L217" i="5"/>
  <c r="K67" i="4"/>
  <c r="E124" i="4"/>
  <c r="E95" i="5"/>
  <c r="L124" i="4"/>
  <c r="M124" i="4"/>
  <c r="O42" i="4"/>
  <c r="E217" i="5"/>
  <c r="K217" i="5"/>
  <c r="P155" i="5"/>
  <c r="G217" i="5"/>
  <c r="P201" i="5"/>
  <c r="K50" i="8" s="1"/>
  <c r="K124" i="4"/>
  <c r="G124" i="4"/>
  <c r="H89" i="4"/>
  <c r="F89" i="4"/>
  <c r="K100" i="4"/>
  <c r="H155" i="5"/>
  <c r="J217" i="5"/>
  <c r="I217" i="5"/>
  <c r="N217" i="5"/>
  <c r="M115" i="5"/>
  <c r="H30" i="8" s="1"/>
  <c r="H201" i="5"/>
  <c r="C50" i="8" s="1"/>
  <c r="L201" i="5"/>
  <c r="G50" i="8" s="1"/>
  <c r="J175" i="5"/>
  <c r="I124" i="4"/>
  <c r="O117" i="4"/>
  <c r="E115" i="5"/>
  <c r="I115" i="5"/>
  <c r="D30" i="8" s="1"/>
  <c r="O135" i="5"/>
  <c r="J34" i="8" s="1"/>
  <c r="K155" i="5"/>
  <c r="H135" i="5"/>
  <c r="C34" i="8" s="1"/>
  <c r="G175" i="5"/>
  <c r="H36" i="5"/>
  <c r="C14" i="8" s="1"/>
  <c r="J36" i="5"/>
  <c r="E14" i="8" s="1"/>
  <c r="J201" i="5"/>
  <c r="E50" i="8" s="1"/>
  <c r="M56" i="5"/>
  <c r="H18" i="8" s="1"/>
  <c r="M175" i="5"/>
  <c r="P124" i="4"/>
  <c r="M67" i="4"/>
  <c r="E55" i="4"/>
  <c r="P100" i="4"/>
  <c r="O136" i="18"/>
  <c r="O78" i="4"/>
  <c r="L20" i="4"/>
  <c r="G55" i="4"/>
  <c r="F42" i="4"/>
  <c r="K117" i="4"/>
  <c r="L55" i="4"/>
  <c r="H115" i="5"/>
  <c r="C30" i="8" s="1"/>
  <c r="J75" i="5"/>
  <c r="E22" i="8" s="1"/>
  <c r="O75" i="5"/>
  <c r="J22" i="8" s="1"/>
  <c r="K201" i="5"/>
  <c r="F50" i="8" s="1"/>
  <c r="N201" i="5"/>
  <c r="I50" i="8" s="1"/>
  <c r="N36" i="5"/>
  <c r="I14" i="8" s="1"/>
  <c r="K175" i="5"/>
  <c r="G20" i="4"/>
  <c r="F55" i="4"/>
  <c r="F20" i="4"/>
  <c r="H20" i="4"/>
  <c r="K89" i="4"/>
  <c r="O20" i="4"/>
  <c r="H55" i="4"/>
  <c r="F117" i="4"/>
  <c r="N95" i="5"/>
  <c r="I26" i="8" s="1"/>
  <c r="H217" i="5"/>
  <c r="K115" i="5"/>
  <c r="F30" i="8" s="1"/>
  <c r="J155" i="5"/>
  <c r="L135" i="5"/>
  <c r="G34" i="8" s="1"/>
  <c r="J135" i="5"/>
  <c r="E34" i="8" s="1"/>
  <c r="I135" i="5"/>
  <c r="D34" i="8" s="1"/>
  <c r="M95" i="5"/>
  <c r="H26" i="8" s="1"/>
  <c r="F175" i="5"/>
  <c r="J56" i="5"/>
  <c r="E18" i="8" s="1"/>
  <c r="I159" i="4"/>
  <c r="H124" i="4"/>
  <c r="G78" i="4"/>
  <c r="G136" i="18"/>
  <c r="P20" i="4"/>
  <c r="G42" i="4"/>
  <c r="K55" i="4"/>
  <c r="J117" i="4"/>
  <c r="G117" i="4"/>
  <c r="H32" i="4"/>
  <c r="O217" i="5"/>
  <c r="M217" i="5"/>
  <c r="L115" i="5"/>
  <c r="G30" i="8" s="1"/>
  <c r="N155" i="5"/>
  <c r="K56" i="5"/>
  <c r="F18" i="8" s="1"/>
  <c r="I95" i="5"/>
  <c r="D26" i="8" s="1"/>
  <c r="I56" i="5"/>
  <c r="D18" i="8" s="1"/>
  <c r="O175" i="5"/>
  <c r="J95" i="5"/>
  <c r="E26" i="8" s="1"/>
  <c r="L56" i="5"/>
  <c r="G18" i="8" s="1"/>
  <c r="O56" i="5"/>
  <c r="J18" i="8" s="1"/>
  <c r="O67" i="4"/>
  <c r="I42" i="4"/>
  <c r="P117" i="4"/>
  <c r="G100" i="4"/>
  <c r="N117" i="4"/>
  <c r="L117" i="4"/>
  <c r="J32" i="4"/>
  <c r="E32" i="4"/>
  <c r="O115" i="5"/>
  <c r="J30" i="8" s="1"/>
  <c r="F135" i="5"/>
  <c r="E155" i="5"/>
  <c r="O155" i="5"/>
  <c r="P75" i="5"/>
  <c r="K22" i="8" s="1"/>
  <c r="E36" i="5"/>
  <c r="P95" i="5"/>
  <c r="K26" i="8" s="1"/>
  <c r="L36" i="5"/>
  <c r="G14" i="8" s="1"/>
  <c r="O36" i="5"/>
  <c r="J14" i="8" s="1"/>
  <c r="O201" i="5"/>
  <c r="J50" i="8" s="1"/>
  <c r="J67" i="4"/>
  <c r="P89" i="4"/>
  <c r="J136" i="18"/>
  <c r="J78" i="4"/>
  <c r="P55" i="4"/>
  <c r="N55" i="4"/>
  <c r="P217" i="5"/>
  <c r="H95" i="5"/>
  <c r="C26" i="8" s="1"/>
  <c r="L75" i="5"/>
  <c r="G22" i="8" s="1"/>
  <c r="N175" i="5"/>
  <c r="E75" i="5"/>
  <c r="K75" i="5"/>
  <c r="F22" i="8" s="1"/>
  <c r="H175" i="5"/>
  <c r="E159" i="4"/>
  <c r="N67" i="4"/>
  <c r="F67" i="4"/>
  <c r="I89" i="4"/>
  <c r="I20" i="4"/>
  <c r="I100" i="4"/>
  <c r="O100" i="4"/>
  <c r="N136" i="18"/>
  <c r="N78" i="4"/>
  <c r="J42" i="4"/>
  <c r="E100" i="4"/>
  <c r="O89" i="4"/>
  <c r="N20" i="4"/>
  <c r="O55" i="4"/>
  <c r="H100" i="4"/>
  <c r="I191" i="18"/>
  <c r="I190" i="18" s="1"/>
  <c r="J202" i="18"/>
  <c r="M202" i="18"/>
  <c r="P191" i="18"/>
  <c r="P190" i="18" s="1"/>
  <c r="O181" i="18"/>
  <c r="J180" i="18"/>
  <c r="M158" i="18"/>
  <c r="I158" i="18"/>
  <c r="F158" i="18"/>
  <c r="F161" i="18"/>
  <c r="E159" i="18"/>
  <c r="L181" i="18"/>
  <c r="G202" i="18"/>
  <c r="H191" i="18"/>
  <c r="H190" i="18" s="1"/>
  <c r="O191" i="18"/>
  <c r="O190" i="18" s="1"/>
  <c r="O176" i="18"/>
  <c r="J179" i="18"/>
  <c r="G160" i="18"/>
  <c r="G159" i="18"/>
  <c r="P160" i="18"/>
  <c r="J79" i="18"/>
  <c r="P96" i="18"/>
  <c r="G79" i="18"/>
  <c r="H76" i="18"/>
  <c r="G80" i="18"/>
  <c r="H202" i="18"/>
  <c r="N191" i="18"/>
  <c r="N190" i="18" s="1"/>
  <c r="L178" i="18"/>
  <c r="O158" i="18"/>
  <c r="I161" i="18"/>
  <c r="F160" i="18"/>
  <c r="E161" i="18"/>
  <c r="H159" i="18"/>
  <c r="L80" i="18"/>
  <c r="J96" i="18"/>
  <c r="J80" i="18"/>
  <c r="K77" i="18"/>
  <c r="H77" i="18"/>
  <c r="K79" i="18"/>
  <c r="G191" i="18"/>
  <c r="G190" i="18" s="1"/>
  <c r="L191" i="18"/>
  <c r="L190" i="18" s="1"/>
  <c r="J161" i="18"/>
  <c r="O178" i="18"/>
  <c r="J177" i="18"/>
  <c r="E158" i="18"/>
  <c r="M161" i="18"/>
  <c r="P159" i="18"/>
  <c r="K161" i="18"/>
  <c r="K37" i="18"/>
  <c r="E77" i="18"/>
  <c r="L57" i="18"/>
  <c r="N80" i="18"/>
  <c r="E202" i="18"/>
  <c r="L180" i="18"/>
  <c r="O177" i="18"/>
  <c r="K159" i="18"/>
  <c r="N161" i="18"/>
  <c r="K80" i="18"/>
  <c r="H79" i="18"/>
  <c r="M37" i="18"/>
  <c r="L76" i="18"/>
  <c r="K96" i="18"/>
  <c r="I76" i="18"/>
  <c r="N79" i="18"/>
  <c r="O76" i="18"/>
  <c r="O202" i="18"/>
  <c r="I202" i="18"/>
  <c r="K191" i="18"/>
  <c r="K190" i="18" s="1"/>
  <c r="G158" i="18"/>
  <c r="L177" i="18"/>
  <c r="K158" i="18"/>
  <c r="F159" i="18"/>
  <c r="L160" i="18"/>
  <c r="K160" i="18"/>
  <c r="E57" i="18"/>
  <c r="E76" i="18"/>
  <c r="N96" i="18"/>
  <c r="N77" i="18"/>
  <c r="F77" i="18"/>
  <c r="L77" i="18"/>
  <c r="H80" i="18"/>
  <c r="N202" i="18"/>
  <c r="O179" i="18"/>
  <c r="J178" i="18"/>
  <c r="L176" i="18"/>
  <c r="P158" i="18"/>
  <c r="L158" i="18"/>
  <c r="L96" i="18"/>
  <c r="F76" i="18"/>
  <c r="I77" i="18"/>
  <c r="M76" i="18"/>
  <c r="K202" i="18"/>
  <c r="J181" i="18"/>
  <c r="O160" i="18"/>
  <c r="O180" i="18"/>
  <c r="K76" i="18"/>
  <c r="O77" i="18"/>
  <c r="P76" i="18"/>
  <c r="L79" i="18"/>
  <c r="P77" i="18"/>
  <c r="E191" i="18"/>
  <c r="E190" i="18" s="1"/>
  <c r="P202" i="18"/>
  <c r="J176" i="18"/>
  <c r="P161" i="18"/>
  <c r="L161" i="18"/>
  <c r="H161" i="18"/>
  <c r="M96" i="18"/>
  <c r="E80" i="18"/>
  <c r="F96" i="18"/>
  <c r="F79" i="18"/>
  <c r="G76" i="18"/>
  <c r="O79" i="18"/>
  <c r="O80" i="18"/>
  <c r="G98" i="18"/>
  <c r="N160" i="18"/>
  <c r="N159" i="18"/>
  <c r="E96" i="18"/>
  <c r="J76" i="18"/>
  <c r="G78" i="18"/>
  <c r="P37" i="18"/>
  <c r="N57" i="18"/>
  <c r="M38" i="18"/>
  <c r="E37" i="18"/>
  <c r="J158" i="18"/>
  <c r="I160" i="18"/>
  <c r="H96" i="18"/>
  <c r="M77" i="18"/>
  <c r="F80" i="18"/>
  <c r="M80" i="18"/>
  <c r="K38" i="18"/>
  <c r="H37" i="18"/>
  <c r="J159" i="18"/>
  <c r="P78" i="18"/>
  <c r="I81" i="18"/>
  <c r="P81" i="18"/>
  <c r="F38" i="18"/>
  <c r="M191" i="18"/>
  <c r="M190" i="18" s="1"/>
  <c r="M160" i="18"/>
  <c r="H158" i="18"/>
  <c r="M98" i="18"/>
  <c r="G37" i="18"/>
  <c r="L38" i="18"/>
  <c r="H38" i="18"/>
  <c r="J38" i="18"/>
  <c r="M203" i="18"/>
  <c r="J160" i="18"/>
  <c r="O159" i="18"/>
  <c r="G96" i="18"/>
  <c r="I80" i="18"/>
  <c r="G77" i="18"/>
  <c r="G38" i="18"/>
  <c r="E160" i="18"/>
  <c r="M159" i="18"/>
  <c r="L81" i="18"/>
  <c r="J78" i="18"/>
  <c r="O38" i="18"/>
  <c r="E38" i="18"/>
  <c r="F202" i="18"/>
  <c r="O96" i="18"/>
  <c r="L98" i="18"/>
  <c r="M79" i="18"/>
  <c r="O37" i="18"/>
  <c r="H203" i="18"/>
  <c r="O161" i="18"/>
  <c r="H160" i="18"/>
  <c r="I79" i="18"/>
  <c r="P80" i="18"/>
  <c r="N37" i="18"/>
  <c r="F203" i="18"/>
  <c r="L179" i="18"/>
  <c r="N158" i="18"/>
  <c r="F78" i="18"/>
  <c r="J77" i="18"/>
  <c r="L37" i="18"/>
  <c r="L159" i="18"/>
  <c r="M78" i="18"/>
  <c r="K98" i="18"/>
  <c r="P79" i="18"/>
  <c r="N157" i="18"/>
  <c r="F81" i="18"/>
  <c r="I159" i="18"/>
  <c r="F98" i="18"/>
  <c r="N76" i="18"/>
  <c r="N38" i="18"/>
  <c r="H57" i="18"/>
  <c r="G161" i="18"/>
  <c r="P38" i="18"/>
  <c r="L202" i="18"/>
  <c r="E79" i="18"/>
  <c r="I38" i="18"/>
  <c r="J37" i="18"/>
  <c r="J191" i="18"/>
  <c r="J190" i="18" s="1"/>
  <c r="F37" i="18"/>
  <c r="I96" i="18"/>
  <c r="I37" i="18"/>
  <c r="F191" i="18"/>
  <c r="F190" i="18" s="1"/>
  <c r="P157" i="18"/>
  <c r="G81" i="18"/>
  <c r="E98" i="18"/>
  <c r="G203" i="18"/>
  <c r="M179" i="18"/>
  <c r="F57" i="18"/>
  <c r="F157" i="18"/>
  <c r="M81" i="18"/>
  <c r="I98" i="18"/>
  <c r="O57" i="18"/>
  <c r="K179" i="18"/>
  <c r="M178" i="18"/>
  <c r="M157" i="18"/>
  <c r="N81" i="18"/>
  <c r="J98" i="18"/>
  <c r="J57" i="18"/>
  <c r="E176" i="18"/>
  <c r="J157" i="18"/>
  <c r="P98" i="18"/>
  <c r="H78" i="18"/>
  <c r="N203" i="18"/>
  <c r="K176" i="18"/>
  <c r="E177" i="18"/>
  <c r="L157" i="18"/>
  <c r="E178" i="18"/>
  <c r="O81" i="18"/>
  <c r="K203" i="18"/>
  <c r="E179" i="18"/>
  <c r="I179" i="18"/>
  <c r="K81" i="18"/>
  <c r="N78" i="18"/>
  <c r="E181" i="18"/>
  <c r="M177" i="18"/>
  <c r="K57" i="18"/>
  <c r="I157" i="18"/>
  <c r="K157" i="18"/>
  <c r="H81" i="18"/>
  <c r="K78" i="18"/>
  <c r="E203" i="18"/>
  <c r="M176" i="18"/>
  <c r="K178" i="18"/>
  <c r="O157" i="18"/>
  <c r="I177" i="18"/>
  <c r="E81" i="18"/>
  <c r="I203" i="18"/>
  <c r="H157" i="18"/>
  <c r="M180" i="18"/>
  <c r="E78" i="18"/>
  <c r="G157" i="18"/>
  <c r="N98" i="18"/>
  <c r="O78" i="18"/>
  <c r="O203" i="18"/>
  <c r="I180" i="18"/>
  <c r="E157" i="18"/>
  <c r="O98" i="18"/>
  <c r="I78" i="18"/>
  <c r="L203" i="18"/>
  <c r="E180" i="18"/>
  <c r="K181" i="18"/>
  <c r="J81" i="18"/>
  <c r="H98" i="18"/>
  <c r="L78" i="18"/>
  <c r="J203" i="18"/>
  <c r="I57" i="18"/>
  <c r="K180" i="18"/>
  <c r="P57" i="18"/>
  <c r="I178" i="18"/>
  <c r="M57" i="18"/>
  <c r="K177" i="18"/>
  <c r="P203" i="18"/>
  <c r="I181" i="18"/>
  <c r="M181" i="18"/>
  <c r="I176" i="18"/>
  <c r="G57" i="18"/>
  <c r="G156" i="18"/>
  <c r="G97" i="18"/>
  <c r="H181" i="18"/>
  <c r="P177" i="18"/>
  <c r="F177" i="18"/>
  <c r="N97" i="18"/>
  <c r="F156" i="18"/>
  <c r="O156" i="18"/>
  <c r="G179" i="18"/>
  <c r="N180" i="18"/>
  <c r="F181" i="18"/>
  <c r="H156" i="18"/>
  <c r="E136" i="18"/>
  <c r="F97" i="18"/>
  <c r="G180" i="18"/>
  <c r="N178" i="18"/>
  <c r="N181" i="18"/>
  <c r="E156" i="18"/>
  <c r="F180" i="18"/>
  <c r="K156" i="18"/>
  <c r="P156" i="18"/>
  <c r="J97" i="18"/>
  <c r="G181" i="18"/>
  <c r="P179" i="18"/>
  <c r="H180" i="18"/>
  <c r="F178" i="18"/>
  <c r="M156" i="18"/>
  <c r="E97" i="18"/>
  <c r="I97" i="18"/>
  <c r="G177" i="18"/>
  <c r="N177" i="18"/>
  <c r="I156" i="18"/>
  <c r="N156" i="18"/>
  <c r="K97" i="18"/>
  <c r="O97" i="18"/>
  <c r="G178" i="18"/>
  <c r="N179" i="18"/>
  <c r="J156" i="18"/>
  <c r="P97" i="18"/>
  <c r="H97" i="18"/>
  <c r="G176" i="18"/>
  <c r="N176" i="18"/>
  <c r="L97" i="18"/>
  <c r="H176" i="18"/>
  <c r="P176" i="18"/>
  <c r="F176" i="18"/>
  <c r="P178" i="18"/>
  <c r="M97" i="18"/>
  <c r="H179" i="18"/>
  <c r="H177" i="18"/>
  <c r="P181" i="18"/>
  <c r="F179" i="18"/>
  <c r="L156" i="18"/>
  <c r="H178" i="18"/>
  <c r="P180" i="18"/>
  <c r="M243" i="18"/>
  <c r="M242" i="18" s="1"/>
  <c r="O253" i="18"/>
  <c r="O252" i="18" s="1"/>
  <c r="P253" i="18"/>
  <c r="P252" i="18" s="1"/>
  <c r="F253" i="18"/>
  <c r="F252" i="18" s="1"/>
  <c r="K253" i="18"/>
  <c r="K252" i="18" s="1"/>
  <c r="N253" i="18"/>
  <c r="N252" i="18" s="1"/>
  <c r="H243" i="18"/>
  <c r="H242" i="18" s="1"/>
  <c r="L243" i="18"/>
  <c r="L242" i="18" s="1"/>
  <c r="J253" i="18"/>
  <c r="J252" i="18" s="1"/>
  <c r="G243" i="18"/>
  <c r="G242" i="18" s="1"/>
  <c r="M253" i="18"/>
  <c r="M252" i="18" s="1"/>
  <c r="O243" i="18"/>
  <c r="O242" i="18" s="1"/>
  <c r="E243" i="18"/>
  <c r="E242" i="18" s="1"/>
  <c r="H253" i="18"/>
  <c r="H252" i="18" s="1"/>
  <c r="I243" i="18"/>
  <c r="I242" i="18" s="1"/>
  <c r="L253" i="18"/>
  <c r="L252" i="18" s="1"/>
  <c r="F243" i="18"/>
  <c r="F242" i="18" s="1"/>
  <c r="I253" i="18"/>
  <c r="I252" i="18" s="1"/>
  <c r="E253" i="18"/>
  <c r="E252" i="18" s="1"/>
  <c r="G253" i="18"/>
  <c r="G252" i="18" s="1"/>
  <c r="P243" i="18"/>
  <c r="P242" i="18" s="1"/>
  <c r="J243" i="18"/>
  <c r="J242" i="18" s="1"/>
  <c r="N243" i="18"/>
  <c r="N242" i="18" s="1"/>
  <c r="K243" i="18"/>
  <c r="K242" i="18" s="1"/>
  <c r="M101" i="18"/>
  <c r="N223" i="18"/>
  <c r="I117" i="18"/>
  <c r="J43" i="18"/>
  <c r="O43" i="18"/>
  <c r="M219" i="18"/>
  <c r="E139" i="18"/>
  <c r="N120" i="18"/>
  <c r="N100" i="18"/>
  <c r="P141" i="18"/>
  <c r="M60" i="18"/>
  <c r="H121" i="18"/>
  <c r="N221" i="18"/>
  <c r="O221" i="18"/>
  <c r="O119" i="18"/>
  <c r="E41" i="18"/>
  <c r="H116" i="18"/>
  <c r="H40" i="18"/>
  <c r="H61" i="18"/>
  <c r="M61" i="18"/>
  <c r="H42" i="18"/>
  <c r="N220" i="18"/>
  <c r="P59" i="18"/>
  <c r="O59" i="18"/>
  <c r="E40" i="18"/>
  <c r="F61" i="18"/>
  <c r="L220" i="18"/>
  <c r="K220" i="18"/>
  <c r="I59" i="18"/>
  <c r="I222" i="18"/>
  <c r="P42" i="18"/>
  <c r="L141" i="18"/>
  <c r="P119" i="18"/>
  <c r="N101" i="18"/>
  <c r="L101" i="18"/>
  <c r="F223" i="18"/>
  <c r="E117" i="18"/>
  <c r="G43" i="18"/>
  <c r="F43" i="18"/>
  <c r="N219" i="18"/>
  <c r="F120" i="18"/>
  <c r="E120" i="18"/>
  <c r="H100" i="18"/>
  <c r="K141" i="18"/>
  <c r="O222" i="18"/>
  <c r="P60" i="18"/>
  <c r="J121" i="18"/>
  <c r="E221" i="18"/>
  <c r="L119" i="18"/>
  <c r="P41" i="18"/>
  <c r="O41" i="18"/>
  <c r="I116" i="18"/>
  <c r="L61" i="18"/>
  <c r="G61" i="18"/>
  <c r="F59" i="18"/>
  <c r="F116" i="18"/>
  <c r="G100" i="18"/>
  <c r="F40" i="18"/>
  <c r="E100" i="18"/>
  <c r="H222" i="18"/>
  <c r="G221" i="18"/>
  <c r="N41" i="18"/>
  <c r="K40" i="18"/>
  <c r="H220" i="18"/>
  <c r="G101" i="18"/>
  <c r="E101" i="18"/>
  <c r="O223" i="18"/>
  <c r="K117" i="18"/>
  <c r="I43" i="18"/>
  <c r="G219" i="18"/>
  <c r="O120" i="18"/>
  <c r="L120" i="18"/>
  <c r="O100" i="18"/>
  <c r="M141" i="18"/>
  <c r="H60" i="18"/>
  <c r="I60" i="18"/>
  <c r="K121" i="18"/>
  <c r="J221" i="18"/>
  <c r="F119" i="18"/>
  <c r="L116" i="18"/>
  <c r="O42" i="18"/>
  <c r="F101" i="18"/>
  <c r="E223" i="18"/>
  <c r="H223" i="18"/>
  <c r="N117" i="18"/>
  <c r="M43" i="18"/>
  <c r="J219" i="18"/>
  <c r="H120" i="18"/>
  <c r="P120" i="18"/>
  <c r="P100" i="18"/>
  <c r="I141" i="18"/>
  <c r="N60" i="18"/>
  <c r="I121" i="18"/>
  <c r="M221" i="18"/>
  <c r="J119" i="18"/>
  <c r="G41" i="18"/>
  <c r="I41" i="18"/>
  <c r="J40" i="18"/>
  <c r="E61" i="18"/>
  <c r="K42" i="18"/>
  <c r="M222" i="18"/>
  <c r="L121" i="18"/>
  <c r="H221" i="18"/>
  <c r="N116" i="18"/>
  <c r="G220" i="18"/>
  <c r="P223" i="18"/>
  <c r="M117" i="18"/>
  <c r="N43" i="18"/>
  <c r="K219" i="18"/>
  <c r="E138" i="18"/>
  <c r="I100" i="18"/>
  <c r="J141" i="18"/>
  <c r="L60" i="18"/>
  <c r="G119" i="18"/>
  <c r="F41" i="18"/>
  <c r="N42" i="18"/>
  <c r="F221" i="18"/>
  <c r="L41" i="18"/>
  <c r="H101" i="18"/>
  <c r="J223" i="18"/>
  <c r="K223" i="18"/>
  <c r="H117" i="18"/>
  <c r="F117" i="18"/>
  <c r="O219" i="18"/>
  <c r="M120" i="18"/>
  <c r="L100" i="18"/>
  <c r="K100" i="18"/>
  <c r="O141" i="18"/>
  <c r="J222" i="18"/>
  <c r="N119" i="18"/>
  <c r="K41" i="18"/>
  <c r="P116" i="18"/>
  <c r="K116" i="18"/>
  <c r="I40" i="18"/>
  <c r="O61" i="18"/>
  <c r="M42" i="18"/>
  <c r="O220" i="18"/>
  <c r="M220" i="18"/>
  <c r="G59" i="18"/>
  <c r="M59" i="18"/>
  <c r="E140" i="18"/>
  <c r="I61" i="18"/>
  <c r="F42" i="18"/>
  <c r="I101" i="18"/>
  <c r="L223" i="18"/>
  <c r="P117" i="18"/>
  <c r="L43" i="18"/>
  <c r="I120" i="18"/>
  <c r="J100" i="18"/>
  <c r="E141" i="18"/>
  <c r="N222" i="18"/>
  <c r="E60" i="18"/>
  <c r="E121" i="18"/>
  <c r="P221" i="18"/>
  <c r="M119" i="18"/>
  <c r="M41" i="18"/>
  <c r="M116" i="18"/>
  <c r="P40" i="18"/>
  <c r="P220" i="18"/>
  <c r="K221" i="18"/>
  <c r="E219" i="18"/>
  <c r="G121" i="18"/>
  <c r="N61" i="18"/>
  <c r="P101" i="18"/>
  <c r="M223" i="18"/>
  <c r="O117" i="18"/>
  <c r="L117" i="18"/>
  <c r="L219" i="18"/>
  <c r="G120" i="18"/>
  <c r="E222" i="18"/>
  <c r="F60" i="18"/>
  <c r="I221" i="18"/>
  <c r="I119" i="18"/>
  <c r="J41" i="18"/>
  <c r="J116" i="18"/>
  <c r="O40" i="18"/>
  <c r="P61" i="18"/>
  <c r="E42" i="18"/>
  <c r="I220" i="18"/>
  <c r="E59" i="18"/>
  <c r="K59" i="18"/>
  <c r="F220" i="18"/>
  <c r="K60" i="18"/>
  <c r="E220" i="18"/>
  <c r="G60" i="18"/>
  <c r="I42" i="18"/>
  <c r="J220" i="18"/>
  <c r="P43" i="18"/>
  <c r="J60" i="18"/>
  <c r="O101" i="18"/>
  <c r="I223" i="18"/>
  <c r="K43" i="18"/>
  <c r="F219" i="18"/>
  <c r="P219" i="18"/>
  <c r="J120" i="18"/>
  <c r="F100" i="18"/>
  <c r="N141" i="18"/>
  <c r="F222" i="18"/>
  <c r="L222" i="18"/>
  <c r="O60" i="18"/>
  <c r="M121" i="18"/>
  <c r="F121" i="18"/>
  <c r="K119" i="18"/>
  <c r="H41" i="18"/>
  <c r="G116" i="18"/>
  <c r="M40" i="18"/>
  <c r="N40" i="18"/>
  <c r="J61" i="18"/>
  <c r="J42" i="18"/>
  <c r="G42" i="18"/>
  <c r="N59" i="18"/>
  <c r="K222" i="18"/>
  <c r="P121" i="18"/>
  <c r="E119" i="18"/>
  <c r="L40" i="18"/>
  <c r="K61" i="18"/>
  <c r="J59" i="18"/>
  <c r="H119" i="18"/>
  <c r="E116" i="18"/>
  <c r="H59" i="18"/>
  <c r="J117" i="18"/>
  <c r="H141" i="18"/>
  <c r="J101" i="18"/>
  <c r="G117" i="18"/>
  <c r="H43" i="18"/>
  <c r="H219" i="18"/>
  <c r="K120" i="18"/>
  <c r="M100" i="18"/>
  <c r="F141" i="18"/>
  <c r="G222" i="18"/>
  <c r="L221" i="18"/>
  <c r="L42" i="18"/>
  <c r="L59" i="18"/>
  <c r="G223" i="18"/>
  <c r="E43" i="18"/>
  <c r="I219" i="18"/>
  <c r="G141" i="18"/>
  <c r="P222" i="18"/>
  <c r="N121" i="18"/>
  <c r="O121" i="18"/>
  <c r="G40" i="18"/>
  <c r="K101" i="18"/>
  <c r="O116" i="18"/>
  <c r="P39" i="18"/>
  <c r="I58" i="18"/>
  <c r="L118" i="18"/>
  <c r="M118" i="18"/>
  <c r="O39" i="18"/>
  <c r="L39" i="18"/>
  <c r="L99" i="18"/>
  <c r="M58" i="18"/>
  <c r="N118" i="18"/>
  <c r="M39" i="18"/>
  <c r="F39" i="18"/>
  <c r="E39" i="18"/>
  <c r="J99" i="18"/>
  <c r="L58" i="18"/>
  <c r="N39" i="18"/>
  <c r="G99" i="18"/>
  <c r="E58" i="18"/>
  <c r="J118" i="18"/>
  <c r="I39" i="18"/>
  <c r="E99" i="18"/>
  <c r="G58" i="18"/>
  <c r="H99" i="18"/>
  <c r="O58" i="18"/>
  <c r="P118" i="18"/>
  <c r="K39" i="18"/>
  <c r="P99" i="18"/>
  <c r="O99" i="18"/>
  <c r="K118" i="18"/>
  <c r="E118" i="18"/>
  <c r="H58" i="18"/>
  <c r="P58" i="18"/>
  <c r="N99" i="18"/>
  <c r="I118" i="18"/>
  <c r="O118" i="18"/>
  <c r="J39" i="18"/>
  <c r="H39" i="18"/>
  <c r="I99" i="18"/>
  <c r="K58" i="18"/>
  <c r="G118" i="18"/>
  <c r="H118" i="18"/>
  <c r="M99" i="18"/>
  <c r="G39" i="18"/>
  <c r="F99" i="18"/>
  <c r="J58" i="18"/>
  <c r="N58" i="18"/>
  <c r="F58" i="18"/>
  <c r="F118" i="18"/>
  <c r="K99" i="18"/>
  <c r="P218" i="18"/>
  <c r="E218" i="18"/>
  <c r="I218" i="18"/>
  <c r="L218" i="18"/>
  <c r="J218" i="18"/>
  <c r="O218" i="18"/>
  <c r="H218" i="18"/>
  <c r="N218" i="18"/>
  <c r="M218" i="18"/>
  <c r="E137" i="18"/>
  <c r="K218" i="18"/>
  <c r="F218" i="18"/>
  <c r="G218" i="18"/>
  <c r="F21" i="18"/>
  <c r="F20" i="18" s="1"/>
  <c r="H11" i="18"/>
  <c r="H10" i="18" s="1"/>
  <c r="J11" i="18"/>
  <c r="J10" i="18" s="1"/>
  <c r="P21" i="18"/>
  <c r="P20" i="18" s="1"/>
  <c r="J21" i="18"/>
  <c r="J20" i="18" s="1"/>
  <c r="L11" i="18"/>
  <c r="L10" i="18" s="1"/>
  <c r="E21" i="18"/>
  <c r="E20" i="18" s="1"/>
  <c r="O21" i="18"/>
  <c r="O20" i="18" s="1"/>
  <c r="M11" i="18"/>
  <c r="M10" i="18" s="1"/>
  <c r="M21" i="18"/>
  <c r="M20" i="18" s="1"/>
  <c r="I21" i="18"/>
  <c r="I20" i="18" s="1"/>
  <c r="F11" i="18"/>
  <c r="F10" i="18" s="1"/>
  <c r="N21" i="18"/>
  <c r="N20" i="18" s="1"/>
  <c r="K11" i="18"/>
  <c r="K10" i="18" s="1"/>
  <c r="L21" i="18"/>
  <c r="L20" i="18" s="1"/>
  <c r="G21" i="18"/>
  <c r="G20" i="18" s="1"/>
  <c r="P11" i="18"/>
  <c r="P10" i="18" s="1"/>
  <c r="G11" i="18"/>
  <c r="G10" i="18" s="1"/>
  <c r="N11" i="18"/>
  <c r="N10" i="18" s="1"/>
  <c r="O11" i="18"/>
  <c r="O10" i="18" s="1"/>
  <c r="I11" i="18"/>
  <c r="I10" i="18" s="1"/>
  <c r="E11" i="18"/>
  <c r="E10" i="18" s="1"/>
  <c r="K21" i="18"/>
  <c r="K20" i="18" s="1"/>
  <c r="H21" i="18"/>
  <c r="H20" i="18" s="1"/>
  <c r="J263" i="18"/>
  <c r="J262" i="18" s="1"/>
  <c r="E263" i="18"/>
  <c r="E262" i="18" s="1"/>
  <c r="H263" i="18"/>
  <c r="H262" i="18" s="1"/>
  <c r="O263" i="18"/>
  <c r="O262" i="18" s="1"/>
  <c r="G263" i="18"/>
  <c r="G262" i="18" s="1"/>
  <c r="F263" i="18"/>
  <c r="F262" i="18" s="1"/>
  <c r="M263" i="18"/>
  <c r="M262" i="18" s="1"/>
  <c r="N263" i="18"/>
  <c r="N262" i="18" s="1"/>
  <c r="L263" i="18"/>
  <c r="L262" i="18" s="1"/>
  <c r="P263" i="18"/>
  <c r="P262" i="18" s="1"/>
  <c r="I263" i="18"/>
  <c r="I262" i="18" s="1"/>
  <c r="K263" i="18"/>
  <c r="K262" i="18" s="1"/>
  <c r="M274" i="18"/>
  <c r="M273" i="18" s="1"/>
  <c r="K274" i="18"/>
  <c r="K273" i="18" s="1"/>
  <c r="N274" i="18"/>
  <c r="N273" i="18" s="1"/>
  <c r="F274" i="18"/>
  <c r="F273" i="18" s="1"/>
  <c r="E274" i="18"/>
  <c r="E273" i="18" s="1"/>
  <c r="O274" i="18"/>
  <c r="O273" i="18" s="1"/>
  <c r="G274" i="18"/>
  <c r="G273" i="18" s="1"/>
  <c r="P274" i="18"/>
  <c r="P273" i="18" s="1"/>
  <c r="H274" i="18"/>
  <c r="H273" i="18" s="1"/>
  <c r="I274" i="18"/>
  <c r="I273" i="18" s="1"/>
  <c r="L274" i="18"/>
  <c r="L273" i="18" s="1"/>
  <c r="J274" i="18"/>
  <c r="J273" i="18" s="1"/>
  <c r="H284" i="18"/>
  <c r="H283" i="18" s="1"/>
  <c r="K284" i="18"/>
  <c r="K283" i="18" s="1"/>
  <c r="P284" i="18"/>
  <c r="P283" i="18" s="1"/>
  <c r="F284" i="18"/>
  <c r="F283" i="18" s="1"/>
  <c r="O284" i="18"/>
  <c r="O283" i="18" s="1"/>
  <c r="M284" i="18"/>
  <c r="M283" i="18" s="1"/>
  <c r="E284" i="18"/>
  <c r="E283" i="18" s="1"/>
  <c r="J284" i="18"/>
  <c r="J283" i="18" s="1"/>
  <c r="G284" i="18"/>
  <c r="G283" i="18" s="1"/>
  <c r="N284" i="18"/>
  <c r="N283" i="18" s="1"/>
  <c r="I284" i="18"/>
  <c r="I283" i="18" s="1"/>
  <c r="L284" i="18"/>
  <c r="L283" i="18" s="1"/>
  <c r="N294" i="18"/>
  <c r="N293" i="18" s="1"/>
  <c r="G294" i="18"/>
  <c r="G293" i="18" s="1"/>
  <c r="K294" i="18"/>
  <c r="K293" i="18" s="1"/>
  <c r="L294" i="18"/>
  <c r="L293" i="18" s="1"/>
  <c r="E294" i="18"/>
  <c r="E293" i="18" s="1"/>
  <c r="J294" i="18"/>
  <c r="J293" i="18" s="1"/>
  <c r="F294" i="18"/>
  <c r="F293" i="18" s="1"/>
  <c r="P294" i="18"/>
  <c r="P293" i="18" s="1"/>
  <c r="O294" i="18"/>
  <c r="O293" i="18" s="1"/>
  <c r="H294" i="18"/>
  <c r="H293" i="18" s="1"/>
  <c r="I294" i="18"/>
  <c r="I293" i="18" s="1"/>
  <c r="M294" i="18"/>
  <c r="M293" i="18" s="1"/>
  <c r="G304" i="18"/>
  <c r="G303" i="18" s="1"/>
  <c r="K304" i="18"/>
  <c r="K303" i="18" s="1"/>
  <c r="P304" i="18"/>
  <c r="P303" i="18" s="1"/>
  <c r="E304" i="18"/>
  <c r="E303" i="18" s="1"/>
  <c r="H304" i="18"/>
  <c r="H303" i="18" s="1"/>
  <c r="O304" i="18"/>
  <c r="O303" i="18" s="1"/>
  <c r="L304" i="18"/>
  <c r="L303" i="18" s="1"/>
  <c r="J304" i="18"/>
  <c r="J303" i="18" s="1"/>
  <c r="N304" i="18"/>
  <c r="N303" i="18" s="1"/>
  <c r="I304" i="18"/>
  <c r="I303" i="18" s="1"/>
  <c r="M304" i="18"/>
  <c r="M303" i="18" s="1"/>
  <c r="F304" i="18"/>
  <c r="F303" i="18" s="1"/>
  <c r="P32" i="4"/>
  <c r="G32" i="4"/>
  <c r="N135" i="5"/>
  <c r="I34" i="8" s="1"/>
  <c r="H56" i="5"/>
  <c r="C18" i="8" s="1"/>
  <c r="F56" i="5"/>
  <c r="F75" i="5"/>
  <c r="G159" i="4"/>
  <c r="I67" i="4"/>
  <c r="P136" i="18"/>
  <c r="P135" i="18" s="1"/>
  <c r="P78" i="4"/>
  <c r="O32" i="4"/>
  <c r="K20" i="4"/>
  <c r="M89" i="4"/>
  <c r="G75" i="5"/>
  <c r="B22" i="8" s="1"/>
  <c r="H136" i="18"/>
  <c r="H78" i="4"/>
  <c r="G135" i="5"/>
  <c r="B34" i="8" s="1"/>
  <c r="P135" i="5"/>
  <c r="K34" i="8" s="1"/>
  <c r="H75" i="5"/>
  <c r="C22" i="8" s="1"/>
  <c r="F95" i="5"/>
  <c r="O95" i="5"/>
  <c r="J26" i="8" s="1"/>
  <c r="P175" i="5"/>
  <c r="P159" i="4"/>
  <c r="F159" i="4"/>
  <c r="P67" i="4"/>
  <c r="G67" i="4"/>
  <c r="M32" i="4"/>
  <c r="E117" i="4"/>
  <c r="M136" i="18"/>
  <c r="M78" i="4"/>
  <c r="L32" i="4"/>
  <c r="I55" i="4"/>
  <c r="J20" i="4"/>
  <c r="M100" i="4"/>
  <c r="M135" i="5"/>
  <c r="H34" i="8" s="1"/>
  <c r="P115" i="5"/>
  <c r="K30" i="8" s="1"/>
  <c r="N115" i="5"/>
  <c r="I30" i="8" s="1"/>
  <c r="G115" i="5"/>
  <c r="B30" i="8" s="1"/>
  <c r="L155" i="5"/>
  <c r="G155" i="5"/>
  <c r="K36" i="5"/>
  <c r="F14" i="8" s="1"/>
  <c r="F201" i="5"/>
  <c r="G95" i="5"/>
  <c r="B26" i="8" s="1"/>
  <c r="G36" i="5"/>
  <c r="B14" i="8" s="1"/>
  <c r="I75" i="5"/>
  <c r="D22" i="8" s="1"/>
  <c r="I36" i="5"/>
  <c r="D14" i="8" s="1"/>
  <c r="N159" i="4"/>
  <c r="F124" i="4"/>
  <c r="O135" i="18"/>
  <c r="K136" i="18"/>
  <c r="K135" i="18" s="1"/>
  <c r="K78" i="4"/>
  <c r="J55" i="4"/>
  <c r="L100" i="4"/>
  <c r="F32" i="4"/>
  <c r="L136" i="18"/>
  <c r="L135" i="18" s="1"/>
  <c r="L78" i="4"/>
  <c r="M20" i="4"/>
  <c r="F136" i="18"/>
  <c r="F78" i="4"/>
  <c r="N32" i="4"/>
  <c r="F201" i="3"/>
  <c r="E200" i="3"/>
  <c r="M42" i="4"/>
  <c r="K32" i="4"/>
  <c r="F155" i="5"/>
  <c r="M155" i="5"/>
  <c r="N75" i="5"/>
  <c r="I22" i="8" s="1"/>
  <c r="M36" i="5"/>
  <c r="H14" i="8" s="1"/>
  <c r="M75" i="5"/>
  <c r="H22" i="8" s="1"/>
  <c r="G56" i="5"/>
  <c r="B18" i="8" s="1"/>
  <c r="E56" i="5"/>
  <c r="E175" i="5"/>
  <c r="P36" i="5"/>
  <c r="K14" i="8" s="1"/>
  <c r="I201" i="5"/>
  <c r="D50" i="8" s="1"/>
  <c r="L175" i="5"/>
  <c r="M159" i="4"/>
  <c r="N124" i="4"/>
  <c r="E67" i="4"/>
  <c r="H67" i="4"/>
  <c r="I136" i="18"/>
  <c r="I135" i="18" s="1"/>
  <c r="I78" i="4"/>
  <c r="K42" i="4"/>
  <c r="N89" i="4"/>
  <c r="G89" i="4"/>
  <c r="F100" i="4"/>
  <c r="L89" i="4"/>
  <c r="H42" i="4"/>
  <c r="N42" i="4"/>
  <c r="F115" i="5"/>
  <c r="J115" i="5"/>
  <c r="E30" i="8" s="1"/>
  <c r="E135" i="5"/>
  <c r="K135" i="5"/>
  <c r="F34" i="8" s="1"/>
  <c r="F36" i="5"/>
  <c r="I175" i="5"/>
  <c r="P56" i="5"/>
  <c r="K18" i="8" s="1"/>
  <c r="L95" i="5"/>
  <c r="G26" i="8" s="1"/>
  <c r="K95" i="5"/>
  <c r="F26" i="8" s="1"/>
  <c r="N56" i="5"/>
  <c r="I18" i="8" s="1"/>
  <c r="L67" i="4"/>
  <c r="J89" i="4"/>
  <c r="N100" i="4"/>
  <c r="E89" i="4"/>
  <c r="J100" i="4"/>
  <c r="P42" i="4"/>
  <c r="M55" i="4"/>
  <c r="I32" i="4"/>
  <c r="N189" i="2"/>
  <c r="N182" i="2"/>
  <c r="F182" i="2"/>
  <c r="F189" i="2"/>
  <c r="H189" i="2"/>
  <c r="H182" i="2"/>
  <c r="K182" i="2"/>
  <c r="K189" i="2"/>
  <c r="D182" i="2"/>
  <c r="D189" i="2"/>
  <c r="E182" i="2"/>
  <c r="E189" i="2"/>
  <c r="L189" i="2"/>
  <c r="L182" i="2"/>
  <c r="J189" i="2"/>
  <c r="J182" i="2"/>
  <c r="I189" i="2"/>
  <c r="I182" i="2"/>
  <c r="M189" i="2"/>
  <c r="M182" i="2"/>
  <c r="O189" i="2"/>
  <c r="O182" i="2"/>
  <c r="G182" i="2"/>
  <c r="G189" i="2"/>
  <c r="M135" i="18" l="1"/>
  <c r="E155" i="18"/>
  <c r="H135" i="18"/>
  <c r="N201" i="18"/>
  <c r="F217" i="18"/>
  <c r="O217" i="18"/>
  <c r="E217" i="18"/>
  <c r="F175" i="18"/>
  <c r="F155" i="18"/>
  <c r="I36" i="18"/>
  <c r="H56" i="18"/>
  <c r="P75" i="18"/>
  <c r="L175" i="18"/>
  <c r="G201" i="18"/>
  <c r="J201" i="18"/>
  <c r="F135" i="18"/>
  <c r="N217" i="18"/>
  <c r="N135" i="18"/>
  <c r="M115" i="18"/>
  <c r="N175" i="18"/>
  <c r="E135" i="18"/>
  <c r="G155" i="18"/>
  <c r="K175" i="18"/>
  <c r="J56" i="18"/>
  <c r="N75" i="18"/>
  <c r="J175" i="18"/>
  <c r="K217" i="18"/>
  <c r="P217" i="18"/>
  <c r="G115" i="18"/>
  <c r="F115" i="18"/>
  <c r="P175" i="18"/>
  <c r="F56" i="18"/>
  <c r="I95" i="18"/>
  <c r="H95" i="18"/>
  <c r="M95" i="18"/>
  <c r="K201" i="18"/>
  <c r="I75" i="18"/>
  <c r="H175" i="18"/>
  <c r="F36" i="18"/>
  <c r="L36" i="18"/>
  <c r="M75" i="18"/>
  <c r="K95" i="18"/>
  <c r="L56" i="18"/>
  <c r="O115" i="18"/>
  <c r="L155" i="18"/>
  <c r="N155" i="18"/>
  <c r="H155" i="18"/>
  <c r="L75" i="18"/>
  <c r="I155" i="18"/>
  <c r="M56" i="18"/>
  <c r="M175" i="18"/>
  <c r="O36" i="18"/>
  <c r="F75" i="18"/>
  <c r="M36" i="18"/>
  <c r="K36" i="18"/>
  <c r="H201" i="18"/>
  <c r="J75" i="18"/>
  <c r="G201" i="3"/>
  <c r="F200" i="3"/>
  <c r="M217" i="18"/>
  <c r="P155" i="18"/>
  <c r="J36" i="18"/>
  <c r="G36" i="18"/>
  <c r="E36" i="18"/>
  <c r="K75" i="18"/>
  <c r="L95" i="18"/>
  <c r="O175" i="18"/>
  <c r="K155" i="18"/>
  <c r="P56" i="18"/>
  <c r="J95" i="18"/>
  <c r="H217" i="18"/>
  <c r="L115" i="18"/>
  <c r="G175" i="18"/>
  <c r="O95" i="18"/>
  <c r="P201" i="18"/>
  <c r="N95" i="18"/>
  <c r="I201" i="18"/>
  <c r="H75" i="18"/>
  <c r="M201" i="18"/>
  <c r="K115" i="18"/>
  <c r="I115" i="18"/>
  <c r="G56" i="18"/>
  <c r="I56" i="18"/>
  <c r="L201" i="18"/>
  <c r="H36" i="18"/>
  <c r="N56" i="18"/>
  <c r="G75" i="18"/>
  <c r="E75" i="18"/>
  <c r="O201" i="18"/>
  <c r="J217" i="18"/>
  <c r="P115" i="18"/>
  <c r="O56" i="18"/>
  <c r="N36" i="18"/>
  <c r="F201" i="18"/>
  <c r="P36" i="18"/>
  <c r="E56" i="18"/>
  <c r="P95" i="18"/>
  <c r="L217" i="18"/>
  <c r="J115" i="18"/>
  <c r="H115" i="18"/>
  <c r="J155" i="18"/>
  <c r="M155" i="18"/>
  <c r="I175" i="18"/>
  <c r="G95" i="18"/>
  <c r="F95" i="18"/>
  <c r="O75" i="18"/>
  <c r="G135" i="18"/>
  <c r="G217" i="18"/>
  <c r="I217" i="18"/>
  <c r="N115" i="18"/>
  <c r="O155" i="18"/>
  <c r="K56" i="18"/>
  <c r="E201" i="18"/>
  <c r="J135" i="18"/>
  <c r="O188" i="2"/>
  <c r="O195" i="2"/>
  <c r="D195" i="2"/>
  <c r="D188" i="2"/>
  <c r="M188" i="2"/>
  <c r="M195" i="2"/>
  <c r="K195" i="2"/>
  <c r="K188" i="2"/>
  <c r="E195" i="2"/>
  <c r="E188" i="2"/>
  <c r="I188" i="2"/>
  <c r="I195" i="2"/>
  <c r="G195" i="2"/>
  <c r="G188" i="2"/>
  <c r="J195" i="2"/>
  <c r="J188" i="2"/>
  <c r="H195" i="2"/>
  <c r="H188" i="2"/>
  <c r="F195" i="2"/>
  <c r="F188" i="2"/>
  <c r="L188" i="2"/>
  <c r="L195" i="2"/>
  <c r="N188" i="2"/>
  <c r="N195" i="2"/>
  <c r="H201" i="3" l="1"/>
  <c r="G200" i="3"/>
  <c r="I194" i="2"/>
  <c r="I201" i="2"/>
  <c r="F201" i="2"/>
  <c r="F194" i="2"/>
  <c r="E201" i="2"/>
  <c r="E194" i="2"/>
  <c r="K194" i="2"/>
  <c r="K201" i="2"/>
  <c r="N201" i="2"/>
  <c r="N194" i="2"/>
  <c r="M201" i="2"/>
  <c r="M194" i="2"/>
  <c r="H194" i="2"/>
  <c r="H201" i="2"/>
  <c r="L201" i="2"/>
  <c r="L194" i="2"/>
  <c r="J194" i="2"/>
  <c r="J201" i="2"/>
  <c r="D194" i="2"/>
  <c r="D201" i="2"/>
  <c r="O201" i="2"/>
  <c r="O194" i="2"/>
  <c r="G201" i="2"/>
  <c r="G194" i="2"/>
  <c r="I201" i="3" l="1"/>
  <c r="H200" i="3"/>
  <c r="K200" i="2"/>
  <c r="D200" i="2"/>
  <c r="J200" i="2"/>
  <c r="L200" i="2"/>
  <c r="E200" i="2"/>
  <c r="H200" i="2"/>
  <c r="G200" i="2"/>
  <c r="M200" i="2"/>
  <c r="F200" i="2"/>
  <c r="I200" i="2"/>
  <c r="O200" i="2"/>
  <c r="N200" i="2"/>
  <c r="J201" i="3" l="1"/>
  <c r="I200" i="3"/>
  <c r="K201" i="3" l="1"/>
  <c r="J200" i="3"/>
  <c r="C140" i="2"/>
  <c r="L201" i="3" l="1"/>
  <c r="K200" i="3"/>
  <c r="M201" i="3" l="1"/>
  <c r="L200" i="3"/>
  <c r="B52" i="8"/>
  <c r="N201" i="3" l="1"/>
  <c r="M200" i="3"/>
  <c r="B24" i="8"/>
  <c r="O201" i="3" l="1"/>
  <c r="N200" i="3"/>
  <c r="C22" i="16"/>
  <c r="C23" i="16" s="1"/>
  <c r="P201" i="3" l="1"/>
  <c r="O200" i="3"/>
  <c r="A1" i="18"/>
  <c r="P200" i="3" l="1"/>
  <c r="C24" i="8"/>
  <c r="H24" i="8"/>
  <c r="E24" i="8"/>
  <c r="J24" i="8"/>
  <c r="D24" i="8"/>
  <c r="F24" i="8"/>
  <c r="I24" i="8"/>
  <c r="K24" i="8"/>
  <c r="C52" i="8"/>
  <c r="G24" i="8"/>
  <c r="I52" i="8"/>
  <c r="G52" i="8"/>
  <c r="E52" i="8"/>
  <c r="F52" i="8"/>
  <c r="J52" i="8"/>
  <c r="D52" i="8"/>
  <c r="H52" i="8"/>
  <c r="K52" i="8"/>
  <c r="C159" i="2" l="1"/>
  <c r="D159" i="3" s="1"/>
  <c r="D158" i="3" l="1"/>
  <c r="D136" i="4"/>
  <c r="C158" i="2"/>
  <c r="E159" i="2"/>
  <c r="H159" i="2"/>
  <c r="G159" i="2"/>
  <c r="F159" i="2"/>
  <c r="L159" i="2"/>
  <c r="D159" i="2"/>
  <c r="K159" i="2"/>
  <c r="M159" i="2"/>
  <c r="J159" i="2"/>
  <c r="N159" i="2"/>
  <c r="I159" i="2"/>
  <c r="O159" i="2"/>
  <c r="L158" i="2" l="1"/>
  <c r="M159" i="3"/>
  <c r="M158" i="3" s="1"/>
  <c r="F158" i="2"/>
  <c r="G159" i="3"/>
  <c r="G158" i="3" s="1"/>
  <c r="G158" i="2"/>
  <c r="H159" i="3"/>
  <c r="H158" i="3" s="1"/>
  <c r="H158" i="2"/>
  <c r="I159" i="3"/>
  <c r="I158" i="3" s="1"/>
  <c r="E158" i="2"/>
  <c r="F159" i="3"/>
  <c r="F158" i="3" s="1"/>
  <c r="O158" i="2"/>
  <c r="P159" i="3"/>
  <c r="P158" i="3" s="1"/>
  <c r="D158" i="2"/>
  <c r="E159" i="3"/>
  <c r="E158" i="3" s="1"/>
  <c r="I158" i="2"/>
  <c r="J159" i="3"/>
  <c r="J158" i="3" s="1"/>
  <c r="J158" i="2"/>
  <c r="K159" i="3"/>
  <c r="K158" i="3" s="1"/>
  <c r="H136" i="4"/>
  <c r="H135" i="4" s="1"/>
  <c r="D233" i="5"/>
  <c r="D233" i="18"/>
  <c r="D135" i="4"/>
  <c r="O136" i="4"/>
  <c r="O135" i="4" s="1"/>
  <c r="G136" i="4"/>
  <c r="G135" i="4" s="1"/>
  <c r="E136" i="4"/>
  <c r="E135" i="4" s="1"/>
  <c r="L136" i="4"/>
  <c r="N136" i="4"/>
  <c r="N135" i="4" s="1"/>
  <c r="I136" i="4"/>
  <c r="I135" i="4" s="1"/>
  <c r="K136" i="4"/>
  <c r="K135" i="4" s="1"/>
  <c r="J136" i="4"/>
  <c r="J135" i="4" s="1"/>
  <c r="M136" i="4"/>
  <c r="M135" i="4" s="1"/>
  <c r="P136" i="4"/>
  <c r="P135" i="4" s="1"/>
  <c r="F136" i="4"/>
  <c r="F135" i="4" s="1"/>
  <c r="N158" i="2"/>
  <c r="O159" i="3"/>
  <c r="O158" i="3" s="1"/>
  <c r="M158" i="2"/>
  <c r="N159" i="3"/>
  <c r="N158" i="3" s="1"/>
  <c r="K158" i="2"/>
  <c r="L159" i="3"/>
  <c r="L158" i="3" s="1"/>
  <c r="B36" i="8"/>
  <c r="L135" i="4" l="1"/>
  <c r="H233" i="5"/>
  <c r="H232" i="5" s="1"/>
  <c r="C58" i="8" s="1"/>
  <c r="O233" i="5"/>
  <c r="O232" i="5" s="1"/>
  <c r="J58" i="8" s="1"/>
  <c r="J60" i="8" s="1"/>
  <c r="F233" i="5"/>
  <c r="F232" i="5" s="1"/>
  <c r="D232" i="5"/>
  <c r="L233" i="5"/>
  <c r="L232" i="5" s="1"/>
  <c r="G58" i="8" s="1"/>
  <c r="G60" i="8" s="1"/>
  <c r="I233" i="5"/>
  <c r="I232" i="5" s="1"/>
  <c r="D58" i="8" s="1"/>
  <c r="D60" i="8" s="1"/>
  <c r="J233" i="5"/>
  <c r="J232" i="5" s="1"/>
  <c r="E58" i="8" s="1"/>
  <c r="E60" i="8" s="1"/>
  <c r="G233" i="5"/>
  <c r="G232" i="5" s="1"/>
  <c r="B58" i="8" s="1"/>
  <c r="B60" i="8" s="1"/>
  <c r="P233" i="5"/>
  <c r="P232" i="5" s="1"/>
  <c r="K58" i="8" s="1"/>
  <c r="K60" i="8" s="1"/>
  <c r="M233" i="5"/>
  <c r="M232" i="5" s="1"/>
  <c r="H58" i="8" s="1"/>
  <c r="H60" i="8" s="1"/>
  <c r="E233" i="5"/>
  <c r="E232" i="5" s="1"/>
  <c r="N233" i="5"/>
  <c r="N232" i="5" s="1"/>
  <c r="I58" i="8" s="1"/>
  <c r="I60" i="8" s="1"/>
  <c r="K233" i="5"/>
  <c r="K232" i="5" s="1"/>
  <c r="F58" i="8" s="1"/>
  <c r="E233" i="18"/>
  <c r="E232" i="18" s="1"/>
  <c r="L233" i="18"/>
  <c r="L232" i="18" s="1"/>
  <c r="I233" i="18"/>
  <c r="I232" i="18" s="1"/>
  <c r="G233" i="18"/>
  <c r="G232" i="18" s="1"/>
  <c r="K233" i="18"/>
  <c r="K232" i="18" s="1"/>
  <c r="N233" i="18"/>
  <c r="N232" i="18" s="1"/>
  <c r="H233" i="18"/>
  <c r="H232" i="18" s="1"/>
  <c r="M233" i="18"/>
  <c r="M232" i="18" s="1"/>
  <c r="O233" i="18"/>
  <c r="O232" i="18" s="1"/>
  <c r="P233" i="18"/>
  <c r="P232" i="18" s="1"/>
  <c r="J233" i="18"/>
  <c r="J232" i="18" s="1"/>
  <c r="F233" i="18"/>
  <c r="F232" i="18" s="1"/>
  <c r="D232" i="18"/>
  <c r="J48" i="8"/>
  <c r="F48" i="8"/>
  <c r="H36" i="8"/>
  <c r="D36" i="8"/>
  <c r="I36" i="8"/>
  <c r="E36" i="8"/>
  <c r="F36" i="8"/>
  <c r="J36" i="8"/>
  <c r="B44" i="8"/>
  <c r="G36" i="8"/>
  <c r="K36" i="8"/>
  <c r="H48" i="8"/>
  <c r="C48" i="8"/>
  <c r="I48" i="8"/>
  <c r="G48" i="8"/>
  <c r="D48" i="8"/>
  <c r="K48" i="8"/>
  <c r="E48" i="8"/>
  <c r="B32" i="8"/>
  <c r="B28" i="8"/>
  <c r="F60" i="8"/>
  <c r="C60" i="8"/>
  <c r="B40" i="8"/>
  <c r="B20" i="8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D44" i="8" l="1"/>
  <c r="F44" i="8"/>
  <c r="B48" i="8"/>
  <c r="K44" i="8"/>
  <c r="J44" i="8"/>
  <c r="H44" i="8"/>
  <c r="C44" i="8"/>
  <c r="E44" i="8"/>
  <c r="I44" i="8"/>
  <c r="G44" i="8"/>
  <c r="H40" i="8"/>
  <c r="G28" i="8"/>
  <c r="F40" i="8"/>
  <c r="I32" i="8"/>
  <c r="H28" i="8"/>
  <c r="F28" i="8"/>
  <c r="E28" i="8"/>
  <c r="D28" i="8"/>
  <c r="J32" i="8"/>
  <c r="I40" i="8"/>
  <c r="J28" i="8"/>
  <c r="F32" i="8"/>
  <c r="D40" i="8"/>
  <c r="J40" i="8"/>
  <c r="C32" i="8"/>
  <c r="D32" i="8"/>
  <c r="H32" i="8"/>
  <c r="C40" i="8"/>
  <c r="K32" i="8"/>
  <c r="K40" i="8"/>
  <c r="E32" i="8"/>
  <c r="G40" i="8"/>
  <c r="C28" i="8"/>
  <c r="I28" i="8"/>
  <c r="G32" i="8"/>
  <c r="K28" i="8"/>
  <c r="E40" i="8"/>
  <c r="D20" i="8"/>
  <c r="F20" i="8"/>
  <c r="I20" i="8"/>
  <c r="K20" i="8"/>
  <c r="E20" i="8"/>
  <c r="J20" i="8"/>
  <c r="G20" i="8"/>
  <c r="H20" i="8"/>
  <c r="C15" i="16" l="1"/>
  <c r="C16" i="16" s="1"/>
  <c r="C31" i="1" l="1"/>
  <c r="C30" i="1"/>
  <c r="C32" i="1"/>
  <c r="C33" i="1"/>
  <c r="C34" i="1" l="1"/>
  <c r="B39" i="12" l="1"/>
  <c r="B36" i="12"/>
  <c r="B4" i="12" s="1"/>
  <c r="L16" i="11"/>
  <c r="N16" i="11" s="1"/>
  <c r="L17" i="11"/>
  <c r="N17" i="11" s="1"/>
  <c r="L41" i="11"/>
  <c r="F41" i="11"/>
  <c r="M23" i="11"/>
  <c r="N18" i="11"/>
  <c r="L18" i="11"/>
  <c r="F18" i="11"/>
  <c r="L40" i="11"/>
  <c r="N46" i="11"/>
  <c r="N45" i="11" s="1"/>
  <c r="N44" i="11"/>
  <c r="N43" i="11" s="1"/>
  <c r="L45" i="11"/>
  <c r="L43" i="11"/>
  <c r="F45" i="11"/>
  <c r="F43" i="11"/>
  <c r="L38" i="11"/>
  <c r="N38" i="11" s="1"/>
  <c r="N37" i="11" s="1"/>
  <c r="L36" i="11"/>
  <c r="N36" i="11" s="1"/>
  <c r="L35" i="11"/>
  <c r="N33" i="11"/>
  <c r="L32" i="11"/>
  <c r="N32" i="11" s="1"/>
  <c r="F38" i="11"/>
  <c r="F37" i="11" s="1"/>
  <c r="F35" i="11"/>
  <c r="F34" i="11" s="1"/>
  <c r="F31" i="11"/>
  <c r="N8" i="11"/>
  <c r="N7" i="11"/>
  <c r="E8" i="11"/>
  <c r="F8" i="11" s="1"/>
  <c r="F13" i="11"/>
  <c r="F17" i="11"/>
  <c r="L11" i="11"/>
  <c r="N12" i="11"/>
  <c r="L13" i="11"/>
  <c r="N42" i="11" l="1"/>
  <c r="C38" i="12" s="1"/>
  <c r="L15" i="11"/>
  <c r="N62" i="11"/>
  <c r="O62" i="11"/>
  <c r="H62" i="11"/>
  <c r="J62" i="11"/>
  <c r="G62" i="11"/>
  <c r="F62" i="11"/>
  <c r="M62" i="11"/>
  <c r="I62" i="11"/>
  <c r="K62" i="11"/>
  <c r="L62" i="11"/>
  <c r="N14" i="11"/>
  <c r="N13" i="11" s="1"/>
  <c r="F42" i="11"/>
  <c r="F59" i="11" s="1"/>
  <c r="F65" i="11" s="1"/>
  <c r="F66" i="11" s="1"/>
  <c r="L10" i="11"/>
  <c r="L37" i="11"/>
  <c r="L42" i="11"/>
  <c r="N15" i="11"/>
  <c r="F15" i="11"/>
  <c r="F29" i="11"/>
  <c r="N11" i="11"/>
  <c r="N10" i="11" s="1"/>
  <c r="L29" i="11"/>
  <c r="L5" i="11"/>
  <c r="L34" i="11"/>
  <c r="N41" i="11"/>
  <c r="L39" i="11"/>
  <c r="N40" i="11"/>
  <c r="N35" i="11"/>
  <c r="N34" i="11" s="1"/>
  <c r="N29" i="11"/>
  <c r="N9" i="11"/>
  <c r="N5" i="11" s="1"/>
  <c r="F10" i="11"/>
  <c r="N4" i="11" l="1"/>
  <c r="H59" i="11"/>
  <c r="H65" i="11" s="1"/>
  <c r="H66" i="11" s="1"/>
  <c r="M59" i="11"/>
  <c r="M65" i="11" s="1"/>
  <c r="M66" i="11" s="1"/>
  <c r="N59" i="11"/>
  <c r="N65" i="11" s="1"/>
  <c r="N66" i="11" s="1"/>
  <c r="O59" i="11"/>
  <c r="O65" i="11" s="1"/>
  <c r="O66" i="11" s="1"/>
  <c r="I59" i="11"/>
  <c r="I65" i="11" s="1"/>
  <c r="I66" i="11" s="1"/>
  <c r="J59" i="11"/>
  <c r="J65" i="11" s="1"/>
  <c r="J66" i="11" s="1"/>
  <c r="L59" i="11"/>
  <c r="L65" i="11" s="1"/>
  <c r="L66" i="11" s="1"/>
  <c r="G59" i="11"/>
  <c r="G65" i="11" s="1"/>
  <c r="G66" i="11" s="1"/>
  <c r="K59" i="11"/>
  <c r="K65" i="11" s="1"/>
  <c r="K66" i="11" s="1"/>
  <c r="E38" i="12"/>
  <c r="G38" i="12"/>
  <c r="D38" i="12"/>
  <c r="I38" i="12"/>
  <c r="F38" i="12"/>
  <c r="H38" i="12"/>
  <c r="J38" i="12"/>
  <c r="K38" i="12"/>
  <c r="L38" i="12"/>
  <c r="L4" i="11"/>
  <c r="L23" i="11" s="1"/>
  <c r="N39" i="11"/>
  <c r="N28" i="11" s="1"/>
  <c r="F5" i="11"/>
  <c r="F4" i="11" s="1"/>
  <c r="F61" i="11" s="1"/>
  <c r="L28" i="11"/>
  <c r="L47" i="11" s="1"/>
  <c r="D37" i="12" l="1"/>
  <c r="N47" i="11"/>
  <c r="C37" i="12"/>
  <c r="C36" i="12" s="1"/>
  <c r="C4" i="12" s="1"/>
  <c r="C40" i="12"/>
  <c r="C39" i="12" s="1"/>
  <c r="D40" i="12"/>
  <c r="N23" i="11"/>
  <c r="L40" i="12"/>
  <c r="L39" i="12" s="1"/>
  <c r="K40" i="12"/>
  <c r="K39" i="12" s="1"/>
  <c r="J40" i="12"/>
  <c r="J39" i="12" s="1"/>
  <c r="I40" i="12"/>
  <c r="I39" i="12" s="1"/>
  <c r="G40" i="12"/>
  <c r="G39" i="12" s="1"/>
  <c r="E40" i="12"/>
  <c r="E39" i="12" s="1"/>
  <c r="H40" i="12"/>
  <c r="H39" i="12" s="1"/>
  <c r="F40" i="12"/>
  <c r="F39" i="12" s="1"/>
  <c r="D39" i="12"/>
  <c r="F37" i="12"/>
  <c r="F36" i="12" s="1"/>
  <c r="F4" i="12" s="1"/>
  <c r="H37" i="12"/>
  <c r="H36" i="12" s="1"/>
  <c r="H4" i="12" s="1"/>
  <c r="G37" i="12"/>
  <c r="G36" i="12" s="1"/>
  <c r="G4" i="12" s="1"/>
  <c r="J37" i="12"/>
  <c r="J36" i="12" s="1"/>
  <c r="J4" i="12" s="1"/>
  <c r="L37" i="12"/>
  <c r="L36" i="12" s="1"/>
  <c r="L4" i="12" s="1"/>
  <c r="I37" i="12"/>
  <c r="I36" i="12" s="1"/>
  <c r="I4" i="12" s="1"/>
  <c r="K37" i="12"/>
  <c r="K36" i="12" s="1"/>
  <c r="K4" i="12" s="1"/>
  <c r="E37" i="12"/>
  <c r="E36" i="12" s="1"/>
  <c r="E4" i="12" s="1"/>
  <c r="D36" i="12"/>
  <c r="D4" i="12" s="1"/>
  <c r="F23" i="11"/>
  <c r="M61" i="11"/>
  <c r="I61" i="11"/>
  <c r="N61" i="11"/>
  <c r="L61" i="11"/>
  <c r="O61" i="11"/>
  <c r="G61" i="11"/>
  <c r="J61" i="11"/>
  <c r="H61" i="11"/>
  <c r="K61" i="11"/>
  <c r="L42" i="12" l="1"/>
  <c r="K42" i="12"/>
  <c r="C42" i="12"/>
  <c r="I42" i="12"/>
  <c r="G42" i="12"/>
  <c r="H42" i="12"/>
  <c r="J42" i="12"/>
  <c r="E42" i="12"/>
  <c r="D42" i="12"/>
  <c r="F42" i="12"/>
  <c r="E15" i="8" l="1"/>
  <c r="F15" i="8"/>
  <c r="G15" i="8"/>
  <c r="H15" i="8"/>
  <c r="I15" i="8"/>
  <c r="D15" i="8"/>
  <c r="C15" i="8"/>
  <c r="B15" i="8"/>
  <c r="C4" i="7"/>
  <c r="C5" i="7" s="1"/>
  <c r="C9" i="7" s="1"/>
  <c r="F4" i="7"/>
  <c r="F5" i="7" s="1"/>
  <c r="F9" i="7" s="1"/>
  <c r="I4" i="7"/>
  <c r="I5" i="7" s="1"/>
  <c r="I9" i="7" s="1"/>
  <c r="B16" i="8" l="1"/>
  <c r="F40" i="11" l="1"/>
  <c r="F39" i="11" s="1"/>
  <c r="F28" i="11" s="1"/>
  <c r="F47" i="11" l="1"/>
  <c r="F58" i="11"/>
  <c r="F64" i="11" s="1"/>
  <c r="L58" i="11"/>
  <c r="L64" i="11" s="1"/>
  <c r="M58" i="11"/>
  <c r="M64" i="11" s="1"/>
  <c r="K58" i="11"/>
  <c r="K64" i="11" s="1"/>
  <c r="I58" i="11"/>
  <c r="I64" i="11" s="1"/>
  <c r="N58" i="11"/>
  <c r="N64" i="11" s="1"/>
  <c r="O58" i="11"/>
  <c r="O64" i="11" s="1"/>
  <c r="H58" i="11"/>
  <c r="H64" i="11" s="1"/>
  <c r="G58" i="11"/>
  <c r="G64" i="11" s="1"/>
  <c r="J58" i="11"/>
  <c r="J64" i="11" s="1"/>
  <c r="C16" i="8" l="1"/>
  <c r="C20" i="8"/>
  <c r="D16" i="8" l="1"/>
  <c r="E16" i="8"/>
  <c r="H16" i="8"/>
  <c r="G16" i="8"/>
  <c r="F16" i="8"/>
  <c r="I16" i="8"/>
  <c r="C36" i="8" l="1"/>
  <c r="D147" i="2" l="1"/>
  <c r="E20" i="4" l="1"/>
  <c r="E42" i="4"/>
  <c r="E78" i="4" l="1"/>
  <c r="E95" i="18"/>
  <c r="E115" i="18"/>
  <c r="E175" i="18" l="1"/>
</calcChain>
</file>

<file path=xl/sharedStrings.xml><?xml version="1.0" encoding="utf-8"?>
<sst xmlns="http://schemas.openxmlformats.org/spreadsheetml/2006/main" count="1936" uniqueCount="485">
  <si>
    <t>EE.SS</t>
  </si>
  <si>
    <t xml:space="preserve">25 - 29 </t>
  </si>
  <si>
    <t xml:space="preserve">30 - 34 </t>
  </si>
  <si>
    <t xml:space="preserve">35 - 39 </t>
  </si>
  <si>
    <t xml:space="preserve">40 - 44 </t>
  </si>
  <si>
    <t xml:space="preserve">45 - 49 </t>
  </si>
  <si>
    <t xml:space="preserve">50- 54 </t>
  </si>
  <si>
    <t xml:space="preserve">55 - 59 </t>
  </si>
  <si>
    <t xml:space="preserve">60 - 64 </t>
  </si>
  <si>
    <t>65 - 69</t>
  </si>
  <si>
    <t>70 - 74</t>
  </si>
  <si>
    <t xml:space="preserve">75 - 79 </t>
  </si>
  <si>
    <t xml:space="preserve">80 y mas </t>
  </si>
  <si>
    <t>20 - 24</t>
  </si>
  <si>
    <t>GRUPOS DE EDAD</t>
  </si>
  <si>
    <t xml:space="preserve">EE. SS </t>
  </si>
  <si>
    <t>AÑO</t>
  </si>
  <si>
    <t>TOTAL</t>
  </si>
  <si>
    <t>POBLACION FEMENINA</t>
  </si>
  <si>
    <t>GESTANTES</t>
  </si>
  <si>
    <t>NACIMIENTOS</t>
  </si>
  <si>
    <t>NIÑOS MENORES              5 AÑOS</t>
  </si>
  <si>
    <t xml:space="preserve">POBLACION </t>
  </si>
  <si>
    <t>POBLACION PROYECTADA                                                  P.S HUANCHAY</t>
  </si>
  <si>
    <t>POBLACION SUJETO DE INTERVENCION</t>
  </si>
  <si>
    <t>3 años</t>
  </si>
  <si>
    <t>4 años</t>
  </si>
  <si>
    <t>Tasa de crecimiento*</t>
  </si>
  <si>
    <t xml:space="preserve">*INEI - </t>
  </si>
  <si>
    <t>2 años</t>
  </si>
  <si>
    <t>ATENCIONES PREVENTIVAS</t>
  </si>
  <si>
    <t>GRUPOS</t>
  </si>
  <si>
    <t>CONTROLES DE CRECIMIENTO Y DESARROLLO (CRED)</t>
  </si>
  <si>
    <t>Gestantes</t>
  </si>
  <si>
    <t>1 año</t>
  </si>
  <si>
    <t>RATIO DE CONCENTRACION - ATENCIONES PREVENTIVAS</t>
  </si>
  <si>
    <t>&lt;  de 1 año</t>
  </si>
  <si>
    <t>POBLACION QUE DEMANDA LOS SERVICIOS DE PROMOCION DE LA SALUD</t>
  </si>
  <si>
    <t>POBLACION SUJETO DE INTERVENCION (PERSONAS EN SUS DIFERENTES ETAPAS DE VIDA)</t>
  </si>
  <si>
    <t>PERIODO DE POST INVERSION</t>
  </si>
  <si>
    <t>CONCENTRACION   (DE CONTROLES/PERSONA) SIN PROYECTO</t>
  </si>
  <si>
    <t>DEMANDA DE LOS SERVICIOS DE SALUD: ATENCIONES DE PROMOCION (SIN PROYECTO)</t>
  </si>
  <si>
    <t>SERVICIOS PREVENTIVOS - CONTROL DE CRECIMIENTO Y DESARROLLO</t>
  </si>
  <si>
    <t>NRO. DE PERSONAL</t>
  </si>
  <si>
    <t>ESTANDAR DE RENDIMIENTO HORA/PERSONAL</t>
  </si>
  <si>
    <t>SERVICIOS PREVENTIVOS - CONTROL PRENATAL</t>
  </si>
  <si>
    <t>SERVICIOS PREVENTIVOS - CONSULTA EXTERNA (MEDICINA GENERAL)</t>
  </si>
  <si>
    <t>150 HORAS (0.7 h para consulta y 0.8 es de tiempo efectivo)</t>
  </si>
  <si>
    <t>NRO DE HORAS PROMEDIO DE ATENCION EFECTIVA ANUAL DE CONSULTA EXTERNA (4 HORAS DIARIAS)</t>
  </si>
  <si>
    <t>NRO DE HORAS PROMEDIO DE ATENCION ANUAL DE CONSULTA EXTERNA (HORAS)</t>
  </si>
  <si>
    <t>NUMERO HORAS MEDICO MENSUAL</t>
  </si>
  <si>
    <t>NUMERO HORAS OBSTETRA MENSUAL</t>
  </si>
  <si>
    <t>NUMERO HORAS ENFERMERO MENSUAL</t>
  </si>
  <si>
    <t xml:space="preserve">150 HORAS (1.2 ES EL TIEMPO EFECTIVO  </t>
  </si>
  <si>
    <t>NRO DE HORAS PROMEDIO DE ATENCION EFECTIVA ANUAL DE CONSULTA EXTERNA (3 HORAS DIARIAS)</t>
  </si>
  <si>
    <t>150 HORAS (1.2 ES EL TIEMPO EFECTIVO)</t>
  </si>
  <si>
    <t>OFERTA POR RECURSOS HUMANOS (NUMERO DE ATENCIONES/AÑO)</t>
  </si>
  <si>
    <t>OH=</t>
  </si>
  <si>
    <t>OFERTA POR RECURSO FISICO (NUMERO DE ATENCIONES/AÑO)</t>
  </si>
  <si>
    <t>OF=</t>
  </si>
  <si>
    <t>SERVICIOS</t>
  </si>
  <si>
    <t>CONTROL DE CRECIMIENTO Y DESARROLLO</t>
  </si>
  <si>
    <t>CONTROL PRENATAL</t>
  </si>
  <si>
    <t>POS INVERSION</t>
  </si>
  <si>
    <t>BLANCE OFERTA - DEMANDA</t>
  </si>
  <si>
    <t>POST INVERSION</t>
  </si>
  <si>
    <t>Demanda efectiva con proyecto</t>
  </si>
  <si>
    <t>Oferta optimizada</t>
  </si>
  <si>
    <t>BRECHA (atenciones)</t>
  </si>
  <si>
    <t>POBLACION ASIGNADA 2019 AÑO DE INVERSION</t>
  </si>
  <si>
    <t>COMPONENTE</t>
  </si>
  <si>
    <t>ACTIVIDADES</t>
  </si>
  <si>
    <t>COSTOS A PRECIOS DE MERCADO</t>
  </si>
  <si>
    <t>INFRAESTRUCTURA</t>
  </si>
  <si>
    <t>SUPERVISION</t>
  </si>
  <si>
    <t>INVERSION TOTAL</t>
  </si>
  <si>
    <t xml:space="preserve">   Mano de Obra calificada</t>
  </si>
  <si>
    <t>Mano de obra no calificada</t>
  </si>
  <si>
    <t xml:space="preserve">Materiales importados </t>
  </si>
  <si>
    <t xml:space="preserve">Servicios y otros bienes de origen nacional </t>
  </si>
  <si>
    <t xml:space="preserve">   Mano de obra calificada</t>
  </si>
  <si>
    <t xml:space="preserve">  Mano de obra no calificada</t>
  </si>
  <si>
    <t xml:space="preserve">  Materiales importados </t>
  </si>
  <si>
    <t xml:space="preserve">  Servicios y otros bienes de origenn acional </t>
  </si>
  <si>
    <t xml:space="preserve">  Combustible</t>
  </si>
  <si>
    <t xml:space="preserve">  Mano de obra no   calificada</t>
  </si>
  <si>
    <t xml:space="preserve">  Servicios y otros bienes de origen nacional </t>
  </si>
  <si>
    <t>FACTOR DE CORRECCION</t>
  </si>
  <si>
    <t>PRECIOS A PRECIOS SOCIALES</t>
  </si>
  <si>
    <t>DESCRIPCION</t>
  </si>
  <si>
    <t>UNIDAD DE MEDIDA</t>
  </si>
  <si>
    <t>CANTIDAD</t>
  </si>
  <si>
    <t>COSTO UNITARIO MENSUAL S/.</t>
  </si>
  <si>
    <t>COSTOS DE OPERACIÓN</t>
  </si>
  <si>
    <t>GLB</t>
  </si>
  <si>
    <t>INSUMOS MEDICOS</t>
  </si>
  <si>
    <t>COSTOS DE MANTENIMIENTO</t>
  </si>
  <si>
    <t>TOTAL ANUAL</t>
  </si>
  <si>
    <t>CONCEPTO</t>
  </si>
  <si>
    <t>COSTOS DE OPERACIÓN Y MANTENIMIENTO CON PROYECTO</t>
  </si>
  <si>
    <t>REMUNERACIONES (Recurso Humano)</t>
  </si>
  <si>
    <t>SERVICIO DE AGUA</t>
  </si>
  <si>
    <t>SERVICIO DE ENERGIA ELECTRICA</t>
  </si>
  <si>
    <t>INSUMOS</t>
  </si>
  <si>
    <t>OTROS</t>
  </si>
  <si>
    <t>UTILES DE OFICINA</t>
  </si>
  <si>
    <t>ARQUITECTURA</t>
  </si>
  <si>
    <t>EQUIPOS</t>
  </si>
  <si>
    <t xml:space="preserve">EQUIPOS DE ESTABLECIMIENTO DE SALUD </t>
  </si>
  <si>
    <t>1 OBTETRA SERUMS</t>
  </si>
  <si>
    <t>1 ENFERMERA</t>
  </si>
  <si>
    <t>1 TECNICO ENFERMERO</t>
  </si>
  <si>
    <t>COSTO ANUAL S/.</t>
  </si>
  <si>
    <t>F.C</t>
  </si>
  <si>
    <t>PRECIOS SOCIALES S/.</t>
  </si>
  <si>
    <t>PRECIOS PRIVADOS S/.</t>
  </si>
  <si>
    <t>COMBUSTIBLE</t>
  </si>
  <si>
    <t>COSTO TRIMESTRAL</t>
  </si>
  <si>
    <t>COSTO MENSUAL</t>
  </si>
  <si>
    <t>COSTO POR AÑO</t>
  </si>
  <si>
    <t xml:space="preserve">COSTOS </t>
  </si>
  <si>
    <t>OPERACIÓN</t>
  </si>
  <si>
    <t>MANTENIMIENTO</t>
  </si>
  <si>
    <t>COSTOS DE OPERACIÓN Y MANTENIMIENTO A PRECIOS DE MERCADO SIN PROYECTO</t>
  </si>
  <si>
    <t>COSTOS DE OPERACIÓN Y MANTENIMIENTO A PRECIOS DE MERCADO CON PROYECTO</t>
  </si>
  <si>
    <t>COSTOS DE OPERACIÓN Y MANTENIMIENTO A PRECIOS SOCIALES SIN PROYECTO</t>
  </si>
  <si>
    <t>COSTOS DE OPERACIÓN Y MANTENIMIENTO A PRECIOS SOCIALES CON PROYECTO</t>
  </si>
  <si>
    <t>TOTAL DE COSTOS CON PROYECTO (A)</t>
  </si>
  <si>
    <t>TOTAL DE COSTOS SIN PROYECTO (B)</t>
  </si>
  <si>
    <t>COSTO DE INVERSION</t>
  </si>
  <si>
    <t>COSTOS INCREMENTALES (A-B)</t>
  </si>
  <si>
    <t>VACS SOCIAL</t>
  </si>
  <si>
    <t>TDS</t>
  </si>
  <si>
    <t>Nº BENEFICIARIOS</t>
  </si>
  <si>
    <t>RATIO C/E</t>
  </si>
  <si>
    <t>CAE</t>
  </si>
  <si>
    <t>EVALUACION SOCIAL</t>
  </si>
  <si>
    <t>CENSO</t>
  </si>
  <si>
    <t xml:space="preserve">TOTAL DE LA POBLACION </t>
  </si>
  <si>
    <t xml:space="preserve">TASA DE CRECIMIENTO DE LA POBLACION TOTAL  </t>
  </si>
  <si>
    <t xml:space="preserve">TASA DE CRECIMIENTO </t>
  </si>
  <si>
    <t>POBLACION POR GRUPOS ESPECIALES P.S. ARHUAY</t>
  </si>
  <si>
    <t>P.S ARHUAY</t>
  </si>
  <si>
    <t xml:space="preserve">PERIODO DE INVERSION </t>
  </si>
  <si>
    <t>PRE INVERSION</t>
  </si>
  <si>
    <t>INVERSION</t>
  </si>
  <si>
    <t>Licitacion y contratacion de obra, ejecucion de obras, implementacion de equipos, elaboracion de programa de capacitacion, supersion y liquidacion</t>
  </si>
  <si>
    <t xml:space="preserve">Estudio a nivel de perfil </t>
  </si>
  <si>
    <t xml:space="preserve">Expediente tecnico </t>
  </si>
  <si>
    <t xml:space="preserve">Operación y mantenimiento </t>
  </si>
  <si>
    <t xml:space="preserve">13 años </t>
  </si>
  <si>
    <t xml:space="preserve">Elaboracion de expediente tecnico </t>
  </si>
  <si>
    <t xml:space="preserve">Licitacion y contratacion de obra </t>
  </si>
  <si>
    <t xml:space="preserve">Construccion de la obra </t>
  </si>
  <si>
    <t xml:space="preserve">Salud y seguridad de obra </t>
  </si>
  <si>
    <t xml:space="preserve">Plan de contingencia </t>
  </si>
  <si>
    <t xml:space="preserve">Mitigacion ambiental </t>
  </si>
  <si>
    <t xml:space="preserve">Equipamiento </t>
  </si>
  <si>
    <t xml:space="preserve">Supervision </t>
  </si>
  <si>
    <t xml:space="preserve">Liquidacion de obra </t>
  </si>
  <si>
    <t xml:space="preserve">FASE DE INVERSION </t>
  </si>
  <si>
    <t xml:space="preserve">FASE DE POST INVERSION 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</si>
  <si>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</si>
  <si>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</si>
  <si>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</si>
  <si>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</si>
  <si>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</si>
  <si>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</si>
  <si>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</si>
  <si>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</si>
  <si>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</si>
  <si>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</si>
  <si>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Año 11</t>
  </si>
  <si>
    <t>Año 12</t>
  </si>
  <si>
    <t>Año 13</t>
  </si>
  <si>
    <t xml:space="preserve">P.S. Arhuay </t>
  </si>
  <si>
    <t>OPERACIÓN Y MANTENIMIENTO (13 Años)</t>
  </si>
  <si>
    <t>16</t>
  </si>
  <si>
    <t>17</t>
  </si>
  <si>
    <t>18</t>
  </si>
  <si>
    <t xml:space="preserve"> </t>
  </si>
  <si>
    <t>18 a 24 Años</t>
  </si>
  <si>
    <t>25 a 34 Años</t>
  </si>
  <si>
    <t>35 a 44 Años</t>
  </si>
  <si>
    <t>45 a 54 Años</t>
  </si>
  <si>
    <t>55 a 64 Años</t>
  </si>
  <si>
    <t>&gt; 65 Años</t>
  </si>
  <si>
    <t>12 años</t>
  </si>
  <si>
    <t>14 años</t>
  </si>
  <si>
    <t>15 años</t>
  </si>
  <si>
    <t>ADULTO MAYOR (&gt; 18 años)</t>
  </si>
  <si>
    <t>CONTROL PRE NATAL</t>
  </si>
  <si>
    <t>ESTIMULACION TEMPRANA (&lt; de 3 años)</t>
  </si>
  <si>
    <t xml:space="preserve">ESTIMULACION TEMPRANA </t>
  </si>
  <si>
    <t>INMUNIZACIONES</t>
  </si>
  <si>
    <t xml:space="preserve">Gestantes </t>
  </si>
  <si>
    <t xml:space="preserve">5 a 11 años </t>
  </si>
  <si>
    <t>&lt;  de 29 dias</t>
  </si>
  <si>
    <t>&lt; de 1 año</t>
  </si>
  <si>
    <t>&lt; de 29 dias</t>
  </si>
  <si>
    <t>1 años</t>
  </si>
  <si>
    <t>&lt; 29 dias</t>
  </si>
  <si>
    <t xml:space="preserve">4 años </t>
  </si>
  <si>
    <t>10-14</t>
  </si>
  <si>
    <t>15-19</t>
  </si>
  <si>
    <t>20-49</t>
  </si>
  <si>
    <t xml:space="preserve">15 a 19 años </t>
  </si>
  <si>
    <t xml:space="preserve">20 a 49 años </t>
  </si>
  <si>
    <t>PLANIFICACION FAMILIAR (MEF DE 15 a 49 años)</t>
  </si>
  <si>
    <t xml:space="preserve">RATIO DE CONCENTRACION - ATENCIONES DE PROMOCION </t>
  </si>
  <si>
    <t xml:space="preserve">PLANIFICACION FAMILIAR </t>
  </si>
  <si>
    <t xml:space="preserve">CONSEJERIA PLANIFICACION FAMILIAR </t>
  </si>
  <si>
    <t xml:space="preserve">ATENCIONES DE PROMOCION DE LA SALUD </t>
  </si>
  <si>
    <t xml:space="preserve">PSICOPROFILAXIS </t>
  </si>
  <si>
    <t>CONSEJERIA DE CANCER</t>
  </si>
  <si>
    <t>CONSEJERIA DE ITS/VIH/SIDA       (&gt; 18 años)</t>
  </si>
  <si>
    <t>CONSEJERIA DEL ADOLESCENTE    (&gt; 18 años)</t>
  </si>
  <si>
    <t>CONSEJERIA DE ENFERMEDADES NO TRASMISIBLES (&gt; 18 años)</t>
  </si>
  <si>
    <t>CONSEJERIA DEL CANCER (&gt; 18 años)</t>
  </si>
  <si>
    <t>CONSEJERIA DE TBC</t>
  </si>
  <si>
    <t xml:space="preserve">16 años </t>
  </si>
  <si>
    <t xml:space="preserve">17 años </t>
  </si>
  <si>
    <t xml:space="preserve">POBLACION SUJETO DE INTERVENCION </t>
  </si>
  <si>
    <t xml:space="preserve">CARTERA DE SERVICIOS </t>
  </si>
  <si>
    <t>Atención ambulatoria por enfermera</t>
  </si>
  <si>
    <t>Atención ambulatoria por obstetra</t>
  </si>
  <si>
    <t>Psicoprofilaxis</t>
  </si>
  <si>
    <t>Consultorio CRED</t>
  </si>
  <si>
    <t>Sala de estimulacion temprana</t>
  </si>
  <si>
    <t>Sala de Inmunizaciones</t>
  </si>
  <si>
    <t>Atencíon integral y consejeria del Adolescente</t>
  </si>
  <si>
    <t>Consejería y prevención del Cáncer</t>
  </si>
  <si>
    <t>Atencíon integral del Adulto Mayor</t>
  </si>
  <si>
    <t>Consejería y prevención de Enf. No Transmisibles</t>
  </si>
  <si>
    <t>Control Prenatal + 1/2 S.H.</t>
  </si>
  <si>
    <t>Planificacíon Familiar</t>
  </si>
  <si>
    <t>Modulo para prevencion y consejeria de TBC</t>
  </si>
  <si>
    <t>Consejeria y prevencion de ITS, VIH y SIDA</t>
  </si>
  <si>
    <t xml:space="preserve">POBLACION DE REFERENCIA </t>
  </si>
  <si>
    <t xml:space="preserve">CENSO </t>
  </si>
  <si>
    <t xml:space="preserve">POBLACION DEL DEPARTAMENTO DE ANCASH </t>
  </si>
  <si>
    <t>CRED (&lt; de 11 años)</t>
  </si>
  <si>
    <t>INMUNIZACIONES (&lt; de 4 años, Gestantes)</t>
  </si>
  <si>
    <t>CONSEJERIA DEL ADOLESCENTE ( 12 a 17 años)</t>
  </si>
  <si>
    <t>OFERTA OPTIMIZADA</t>
  </si>
  <si>
    <t xml:space="preserve">SERVICIOS PREVENTIVOS DE LA SALUD </t>
  </si>
  <si>
    <t xml:space="preserve">TBC  </t>
  </si>
  <si>
    <t>ITS, VIH/SIDA</t>
  </si>
  <si>
    <t>ADOLESCENTE</t>
  </si>
  <si>
    <t>CANCER</t>
  </si>
  <si>
    <t>ADULTO MAYOR</t>
  </si>
  <si>
    <t xml:space="preserve">ENFERMEDADES NO TRASMISIBLES </t>
  </si>
  <si>
    <t xml:space="preserve">CONSTROL PRE NATAL </t>
  </si>
  <si>
    <t>PSICOPROFILAXIS</t>
  </si>
  <si>
    <t>COSTOS AÑO 1</t>
  </si>
  <si>
    <t>COSTOS AÑO 2</t>
  </si>
  <si>
    <t>COSTOS AÑO 3</t>
  </si>
  <si>
    <t>COSTOS AÑO 4</t>
  </si>
  <si>
    <t>COSTOS AÑO 5</t>
  </si>
  <si>
    <t>COSTOS AÑO 6</t>
  </si>
  <si>
    <t>COSTOS AÑO 7</t>
  </si>
  <si>
    <t>COSTOS AÑO 8</t>
  </si>
  <si>
    <t>COSTOS AÑO 9</t>
  </si>
  <si>
    <t>COSTOS AÑO 10</t>
  </si>
  <si>
    <t xml:space="preserve">Costos con proyecto </t>
  </si>
  <si>
    <t xml:space="preserve">Operación </t>
  </si>
  <si>
    <t xml:space="preserve">Mantenimiento </t>
  </si>
  <si>
    <t xml:space="preserve">Costos sin proyecto </t>
  </si>
  <si>
    <t xml:space="preserve">Costos incrementales </t>
  </si>
  <si>
    <t xml:space="preserve">TOTAL </t>
  </si>
  <si>
    <t>ALTERNATIVA UNICA</t>
  </si>
  <si>
    <t xml:space="preserve">kit de equipamiento </t>
  </si>
  <si>
    <t xml:space="preserve">EXPEDIENTE TECNICO </t>
  </si>
  <si>
    <t xml:space="preserve">SUPERVISION </t>
  </si>
  <si>
    <t xml:space="preserve">CONSTRUCCION DE CONSULTORIO </t>
  </si>
  <si>
    <t>CONSTRUCCION DE CONSULTORIO CRED</t>
  </si>
  <si>
    <t>CONSTRUCCION DE SALA DE INMUNIZACIONES</t>
  </si>
  <si>
    <t>CONSTRUCCION AMBIENTE DE RESIDENCIA</t>
  </si>
  <si>
    <t>CONSTRUCCION DE AREA DE MANTENIMIENTO</t>
  </si>
  <si>
    <t>CONSTRUCCION DE ALMACEN</t>
  </si>
  <si>
    <t>CONSTRUCCION DE CENTRAL DE GASES</t>
  </si>
  <si>
    <t xml:space="preserve">CONSTRUCCION DE CADENA DE FRIO </t>
  </si>
  <si>
    <t>CONSTRUCCION DE CASA DE FUERZA</t>
  </si>
  <si>
    <t>CONSTRUCCION DE DEPOSITO VEHICULAR</t>
  </si>
  <si>
    <t>CONSTRUCCION DE SALA DE ECOGRAFIA</t>
  </si>
  <si>
    <t>CONSTRUCCION DE AREA DE DESINFECCION</t>
  </si>
  <si>
    <t>CONTRUCCION AMBIENTE COMPLEMENTARIO</t>
  </si>
  <si>
    <t xml:space="preserve">CONSTRUCCION DE LABORATORIO GENERAL </t>
  </si>
  <si>
    <t>CONSTRUCCION DE SALA DE RADIOGRAFIA</t>
  </si>
  <si>
    <t xml:space="preserve">CONSTRUCCION DE AMBIENTE ADMINISTRATIVO </t>
  </si>
  <si>
    <t xml:space="preserve">CONSTRUCCION DE DEPOSITO DE RESIDUOS SOLIDOS </t>
  </si>
  <si>
    <t>CONSTRUCCION DE CENTRTAL DE VIGILANCIA Y SEGURIDAD</t>
  </si>
  <si>
    <t xml:space="preserve">CONSTRUCCION SALA DE EMERGENCIA </t>
  </si>
  <si>
    <t xml:space="preserve">TIPO DE FACTOR PRODUCTIVO </t>
  </si>
  <si>
    <t xml:space="preserve">UNIDAD FISICA </t>
  </si>
  <si>
    <t>UM</t>
  </si>
  <si>
    <t xml:space="preserve">META </t>
  </si>
  <si>
    <t xml:space="preserve">CONSTRUCCION SALA DE PROCEDIMIENTOS AMBULATORIOS </t>
  </si>
  <si>
    <t>Infraestructura</t>
  </si>
  <si>
    <t>Ambientes</t>
  </si>
  <si>
    <t>m2</t>
  </si>
  <si>
    <t>CONSTRUCCION DE AMBIENTE DE  ACOMPAÑAMIENTO Y/O CONSEJERIA</t>
  </si>
  <si>
    <t xml:space="preserve">CONSTRUCCION AMBIENTE DE DISPENSACION Y EXPENDIO </t>
  </si>
  <si>
    <t xml:space="preserve">CONSTRUCCION DE TOPICO DE URGENCIAS Y EMERGENCIAS </t>
  </si>
  <si>
    <t xml:space="preserve">CONSTRUCCION DE AREA DE SERVICIOS COMPLEMENTARIOS </t>
  </si>
  <si>
    <t xml:space="preserve">Numero de equipamiento </t>
  </si>
  <si>
    <t xml:space="preserve">COSTOS DIRECTOS </t>
  </si>
  <si>
    <t xml:space="preserve">UTILIDAD </t>
  </si>
  <si>
    <t>GASTOS GENERALES</t>
  </si>
  <si>
    <t>IGV</t>
  </si>
  <si>
    <t xml:space="preserve">Consultorio de medicina general </t>
  </si>
  <si>
    <t xml:space="preserve">Teleconsulta por medico general </t>
  </si>
  <si>
    <t>Teleconsultamedica</t>
  </si>
  <si>
    <t>Atención ambulatoria por cirujano dentista general con 
soporte de radiología oral</t>
  </si>
  <si>
    <t>Consultorio de odontologia general con soporte de radiografia</t>
  </si>
  <si>
    <t xml:space="preserve">Atencion ambulatoria por psicologo </t>
  </si>
  <si>
    <t>Consultorio de psicologia</t>
  </si>
  <si>
    <t xml:space="preserve">Atencion de urgencias y emergencias por medico general </t>
  </si>
  <si>
    <t>Atencion patologia clinica</t>
  </si>
  <si>
    <t>Laboratorio</t>
  </si>
  <si>
    <t>Topico Urgencias y emergencias</t>
  </si>
  <si>
    <t xml:space="preserve">Atencion de radiologia y ecografia </t>
  </si>
  <si>
    <t xml:space="preserve">Ecografia </t>
  </si>
  <si>
    <t>Radiografia</t>
  </si>
  <si>
    <t xml:space="preserve">Atecncion con medicamentos </t>
  </si>
  <si>
    <t xml:space="preserve">Farmacia </t>
  </si>
  <si>
    <t>Desinfeccion y esterilizacion</t>
  </si>
  <si>
    <t xml:space="preserve">Desinfeccin y esterilizacion </t>
  </si>
  <si>
    <t xml:space="preserve">Consulta ambulatoria por medico general </t>
  </si>
  <si>
    <t>DIAS ESPECIALES</t>
  </si>
  <si>
    <t>28 dias</t>
  </si>
  <si>
    <t>0-5 meses</t>
  </si>
  <si>
    <t xml:space="preserve">6-11 meses </t>
  </si>
  <si>
    <t>Total</t>
  </si>
  <si>
    <t>Año base (2024)</t>
  </si>
  <si>
    <t>POBLACION DEL DISTRITO DE RAHUAPAMPA</t>
  </si>
  <si>
    <t>POBLACION DE LA PROVINCIA DE HUARI</t>
  </si>
  <si>
    <t>atencion</t>
  </si>
  <si>
    <t>egreso</t>
  </si>
  <si>
    <t>Sala de observacion de mergencia</t>
  </si>
  <si>
    <t>muestra</t>
  </si>
  <si>
    <t>examen</t>
  </si>
  <si>
    <t>receta</t>
  </si>
  <si>
    <t>unidad esterilizada</t>
  </si>
  <si>
    <t>vacuna</t>
  </si>
  <si>
    <t>sesion</t>
  </si>
  <si>
    <t>Medicina General (0 a 85 años a mas)</t>
  </si>
  <si>
    <t>Medicina General</t>
  </si>
  <si>
    <t xml:space="preserve">Teleconsulta medica </t>
  </si>
  <si>
    <t>Psicologia</t>
  </si>
  <si>
    <t xml:space="preserve">Topico Urgencias y emergencias  </t>
  </si>
  <si>
    <t>Poblacion de referencia: Consultorio de medicina general (Numero de personas de 0 a 85 años a mas) en el año 2024</t>
  </si>
  <si>
    <t>Poblacion de referencia: Atencíon integral y consejeria del Adolescente en el año 2024</t>
  </si>
  <si>
    <t>Poblacion de referencia: Atencíon integral del Adulto Mayor en el año 2024</t>
  </si>
  <si>
    <t>Poblacion de referencia: Teleconsultamedica (Numero de personas de 0 a 85 años a mas) en el año 2024</t>
  </si>
  <si>
    <t>Poblacion de referencia: Consultorio CRED (Numero de niños menores de 11 años)en el año 2024</t>
  </si>
  <si>
    <t>Poblacion de referencia: Estimulacion temprana (Numero de niños menores de 3 años) en el año 2024</t>
  </si>
  <si>
    <t>Poblacion de referencia: Consejeria y prevencion de ITS, VIH y SIDA (mayores a 18 años) en el año 2024</t>
  </si>
  <si>
    <t>Poblacion de referencia: Consejería y prevención de Enf. No Transmisibles  (mayores a 18 años) en el año 2024</t>
  </si>
  <si>
    <t>Poblacion de referencia: Control Prenatal + 1/2 S.H (gestantes)  en el año 2024</t>
  </si>
  <si>
    <t>Poblacion de referencia: Planificacíon Familiar (MEF DE 15 a 49 años) en el año 2024</t>
  </si>
  <si>
    <t>Poblacion de referencia: Consejería y prevención del Cáncer (mayores a 18 años) en el año 2024</t>
  </si>
  <si>
    <t>Poblacion de referencia: Psicoprofilaxis (gestantes)  en el año 2024</t>
  </si>
  <si>
    <t>Poblacion de referencia: Consultorio de psicologia (de 3 a 85 años a mas) en el año 2024</t>
  </si>
  <si>
    <t>Poblacion de referencia: Laboratorio (0 a 85 años a mas) en el año 2024</t>
  </si>
  <si>
    <t>Poblacion de referencia: Ecografia (0 a 85 años a mas) en el año 2024</t>
  </si>
  <si>
    <t>Poblacion de referencia: Radiografia (0 a 85 años a mas) en el año 2024</t>
  </si>
  <si>
    <t>Poblacion de referencia: Farmacia (0 a 85 años a mas) en el año 2024</t>
  </si>
  <si>
    <t>Poblacion de referencia: Desinfeccion y esterilizacion (0 a 85 años a mas) en el año 2024</t>
  </si>
  <si>
    <t>507 x 100% =</t>
  </si>
  <si>
    <t>507</t>
  </si>
  <si>
    <t>107 x 100% =</t>
  </si>
  <si>
    <t>107</t>
  </si>
  <si>
    <t>&lt; 1 año</t>
  </si>
  <si>
    <t>43</t>
  </si>
  <si>
    <t>71 x 100% =</t>
  </si>
  <si>
    <t>43 x 100 % =</t>
  </si>
  <si>
    <t>71</t>
  </si>
  <si>
    <t>Poblacion de referencia: Inmunizaciones (Menores de 4 años, gestantes) en el año 2024</t>
  </si>
  <si>
    <t>CONSEJERIA Y PREVENCION DE TBC (&gt; 18 años)</t>
  </si>
  <si>
    <t>364 * 100% =</t>
  </si>
  <si>
    <t>364</t>
  </si>
  <si>
    <t>Poblacion de referencia: Prevencion y consejeria de TBC (Mayores a 18 a 85 años a mas) en el año 2024</t>
  </si>
  <si>
    <t>CONSEJERIA DE ITS/VIH/SIDA   (&gt; 18 años)</t>
  </si>
  <si>
    <t>39 * 100% =</t>
  </si>
  <si>
    <t>39</t>
  </si>
  <si>
    <t>364 x 100% =</t>
  </si>
  <si>
    <t>CONSEJERIA Y PREVENCION DE ENFERMEDADES NO TRASMISIBLES (&gt; 18 años)</t>
  </si>
  <si>
    <t>18 x 100% =</t>
  </si>
  <si>
    <t>252 x 100% =</t>
  </si>
  <si>
    <t>252</t>
  </si>
  <si>
    <t xml:space="preserve">Odontologia   </t>
  </si>
  <si>
    <t xml:space="preserve">0 a 85 años a mas </t>
  </si>
  <si>
    <t xml:space="preserve">4 a 85 años a mas </t>
  </si>
  <si>
    <t>Poblacion de referencia: Consultorio de odontologia general con soporte de radiografia (4 a 85 años a mas) en el año 2024</t>
  </si>
  <si>
    <t>467 x 100% =</t>
  </si>
  <si>
    <t>467</t>
  </si>
  <si>
    <t xml:space="preserve">3 a 85 años a mas </t>
  </si>
  <si>
    <t>482 x 100%</t>
  </si>
  <si>
    <t>482</t>
  </si>
  <si>
    <t>Poblacion de referencia:  Urgencias y emergencias (de 0 a 85 años a mas) en el año 2024</t>
  </si>
  <si>
    <t>Poblacion de referencia: Sala de observacion de emergencia (de 0 a 85 años a mas) en el año 2024</t>
  </si>
  <si>
    <t>RADIOGRAFIA</t>
  </si>
  <si>
    <t>ECOGRAFIA</t>
  </si>
  <si>
    <t>LABORATORIO</t>
  </si>
  <si>
    <t>OBSERVACION EMERGENCIAS</t>
  </si>
  <si>
    <t>Poblacion demandante potencial: Teleconsultamedica (Numero de personas de 0 a 85 años a mas) en el año 2024</t>
  </si>
  <si>
    <t>Poblacion demandante potencial: Consultorio CRED (Numero de niños menores de 11 años)en el año 2024</t>
  </si>
  <si>
    <t>Poblacion demandante potencial:  Estimulacion temprana (Numero de niños menores de 3 años) en el año 2024</t>
  </si>
  <si>
    <t>Poblacion demandante potencial: Inmunizaciones (Menores de 4 años, gestantes) en el año 2024</t>
  </si>
  <si>
    <t>Poblacion demandante potencial: Prevencion y consejeria de TBC (Mayores a 18 a 85 años a mas) en el año 2024</t>
  </si>
  <si>
    <t>Poblacion demandante potencial: Consejeria y prevencion de ITS, VIH y SIDA (mayores a 18 años) en el año 2024</t>
  </si>
  <si>
    <t>Poblacion demandante potencial: Atencíon integral y consejeria del Adolescente en el año 2024</t>
  </si>
  <si>
    <t>Poblacion demandante potencial: Atencíon integral del Adulto Mayor en el año 2024</t>
  </si>
  <si>
    <t>Poblacion demandante potencial: Consejería y prevención de Enf. No Transmisibles  (mayores a 18 años) en el año 2024</t>
  </si>
  <si>
    <t>Poblacion demandante potencial: Control Prenatal + 1/2 S.H (gestantes)  en el año 2024</t>
  </si>
  <si>
    <t>Poblacion demandante potencial: Planificacíon Familiar (MEF DE 15 a 49 años) en el año 2024</t>
  </si>
  <si>
    <t>Poblacion demandante potencial: Consejería y prevención del Cáncer (mayores a 18 años) en el año 2024</t>
  </si>
  <si>
    <t>Poblacion demandante potencial: Psicoprofilaxis (gestantes)  en el año 2024</t>
  </si>
  <si>
    <t>Poblacion demandante potencial: Consultorio de odontologia general con soporte de radiografia (4 a 85 años a mas) en el año 2024</t>
  </si>
  <si>
    <t>Poblacion demandante potencial: Consultorio de psicologia (de 3 a 85 años a mas) en el año 2024</t>
  </si>
  <si>
    <t>Poblacion demandante potencial: Urgencias y emergencias (de 0 a 85 años a mas) en el año 2024</t>
  </si>
  <si>
    <t>Poblacion demandante potencial: Sala de observacion de emergencia (de 0 a 85 años a mas) en el año 2024</t>
  </si>
  <si>
    <t>Poblacion demandante potencial: Laboratorio (0 a 85 años a mas) en el año 2024</t>
  </si>
  <si>
    <t>Poblacion demandante potencial: Ecografia (0 a 85 años a mas) en el año 2024</t>
  </si>
  <si>
    <t>Poblacion demandante potencial: Radiografia (0 a 85 años a mas) en el año 2024</t>
  </si>
  <si>
    <t>Poblacion demandante potencial: Farmacia (0 a 85 años a mas) en el año 2024</t>
  </si>
  <si>
    <t>Poblacion demandante potencial: Desinfeccion y esterilizacion (0 a 85 años a mas) en el año 2024</t>
  </si>
  <si>
    <t>507 x 48 % =</t>
  </si>
  <si>
    <t>467 x 48% =</t>
  </si>
  <si>
    <t>507 x 48% =</t>
  </si>
  <si>
    <t xml:space="preserve"> 0 a 85 años a mas</t>
  </si>
  <si>
    <t>0 a 85 años a mas</t>
  </si>
  <si>
    <t xml:space="preserve">RATIO DE CONCENTRACION </t>
  </si>
  <si>
    <t>MEDICINA GENERAL</t>
  </si>
  <si>
    <t xml:space="preserve">TELECONSULTA MEDICA </t>
  </si>
  <si>
    <t>ODONTOLOGIA</t>
  </si>
  <si>
    <t>PSICOLOGIA</t>
  </si>
  <si>
    <t>URGENCIAS Y EMERGENCIAS</t>
  </si>
  <si>
    <t>EMERGENCIAS</t>
  </si>
  <si>
    <t xml:space="preserve">LABORATORIO </t>
  </si>
  <si>
    <t>CONCENTRACION   (DE MUESTRA/PERSONA) SIN PROYECTO</t>
  </si>
  <si>
    <t xml:space="preserve">ECOGRAFIA </t>
  </si>
  <si>
    <t>CONCENTRACION   (DE EXAMEN/PERSONA) SIN PROYECTO</t>
  </si>
  <si>
    <t>FARMACIA</t>
  </si>
  <si>
    <t>CONCENTRACION   (DE ATENCION/PERSONA) SIN PROYECTO</t>
  </si>
  <si>
    <t>CONCENTRACION   (VACUNAS/PERSONA) SIN PROYECTO</t>
  </si>
  <si>
    <t>CONCENTRACION   (DE SESION/PERSONA) SIN PROYECTO</t>
  </si>
  <si>
    <t>CONCENTRACION   (DE ATENCION/PERSONA) CON PROYECTO</t>
  </si>
  <si>
    <t>CONCENTRACION   (VACUNAS/PERSONA) CON PROYECTO</t>
  </si>
  <si>
    <t>CONCENTRACION   (DE CONTROLES/PERSONA) CON PROYECTO</t>
  </si>
  <si>
    <t>CONCENTRACION   (DE SESION/PERSONA) CON PROYECTO</t>
  </si>
  <si>
    <t>CONCENTRACION   (DE MUESTRA/PERSONA) CON PROYECTO</t>
  </si>
  <si>
    <t>CONCENTRACION   (DE EXAMEN/PERSONA) CON PROYECTO</t>
  </si>
  <si>
    <t xml:space="preserve">PRESUPUESTO DE INVERSION A PRECIOS DE MERCADO - C.S RAHUAPAMPA  </t>
  </si>
  <si>
    <t xml:space="preserve">INFRAESTRUCTURA ADECUADA PARA LA PRESTACION DE LOS SERVICIOS DE SALUD </t>
  </si>
  <si>
    <t xml:space="preserve">COSTO DEL PROYECTO </t>
  </si>
  <si>
    <t xml:space="preserve">PRESUPUESTO DE EJECUCION </t>
  </si>
  <si>
    <t xml:space="preserve">GESTION DE PROYECTO </t>
  </si>
  <si>
    <t>CONTROL CONCURRENTE (2%)</t>
  </si>
  <si>
    <t xml:space="preserve">CONTROL CONCURRENTE </t>
  </si>
  <si>
    <t xml:space="preserve">EQUIPAMIENTO  SUFICIENTE Y ADECUADO </t>
  </si>
  <si>
    <t xml:space="preserve">PRESUPUESTO DE INVERSION A PRECIOS SOCIALES - C.S RAHUAPAMPA (S/.) </t>
  </si>
  <si>
    <t xml:space="preserve">MEDICO GENERAL </t>
  </si>
  <si>
    <t>ANUAL</t>
  </si>
  <si>
    <t xml:space="preserve">COSTO ANUAL </t>
  </si>
  <si>
    <t>COSTO ANUAL</t>
  </si>
  <si>
    <t>SERVICIO</t>
  </si>
  <si>
    <t>EXPEDIENTE TECNICO</t>
  </si>
  <si>
    <t>PERIODO 0 (Años)</t>
  </si>
  <si>
    <t>Equipamiento</t>
  </si>
  <si>
    <t>Numero de estrtucturas fisicas</t>
  </si>
  <si>
    <t>EQUIPAMIENTO DE AMBIENTES COMPLEMENTARIOS</t>
  </si>
  <si>
    <t>OTRAS ACCIONES DE INFRAESTRUCTURA (PLAN DE CONTINGENCIA)</t>
  </si>
  <si>
    <t xml:space="preserve">COSTO DE OPERACIÓN Y MANTENIMIENTO A PRECIOS DE MERCADO DEL CENTRO DE SALUD DE RAHUAPAMPA EN LA SITUACION CON PROYECTO </t>
  </si>
  <si>
    <t xml:space="preserve">COSTO DE OPERACIÓN Y MANTENIMIENTO A PRECIOS DE MERCADO EN EL CENTRO DE SALUD RAHUAPAMPA  EN LA SITUACION SIN PROYECTO </t>
  </si>
  <si>
    <t xml:space="preserve">COSTO DE OPERACIÓN Y MANTENIMIENTO A PRECIOS SOCIALES DEL CENTRO DE SALUD DE RAHUAPAMPA EN LA SITUACION CON PROYECTO </t>
  </si>
  <si>
    <t xml:space="preserve">COSTO DE OPERACIÓN Y MANTENIMIENTO A PRECIOS SOCIALES DEL CENTRO DE SALUD DE RAHUAPAMPA EN LA SITUACION SIN PROYECTO </t>
  </si>
  <si>
    <t>Atencion ambulatoria por profesional de la salud</t>
  </si>
  <si>
    <t xml:space="preserve">Atencion ambbulatoria por personal de salud capacitado en salud mental </t>
  </si>
  <si>
    <t xml:space="preserve">Salud mental </t>
  </si>
  <si>
    <t>COVID u otras afecciones respiratorias</t>
  </si>
  <si>
    <t>Atencion diferenciada de pacientes COVID u otras afecciones respiratorias</t>
  </si>
  <si>
    <t xml:space="preserve">Atencion de ambienye de observacion de emergencia </t>
  </si>
  <si>
    <t>RATIO DE CONCENTRACION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</si>
</sst>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S/&quot;\ * #,##0.00_-;\-&quot;S/&quot;\ * #,##0.00_-;_-&quot;S/&quot;\ * &quot;-&quot;??_-;_-@_-"/>
    <numFmt numFmtId="164" formatCode="_-* #,##0.00\ &quot;€&quot;_-;\-* #,##0.00\ &quot;€&quot;_-;_-* &quot;-&quot;??\ &quot;€&quot;_-;_-@_-"/>
    <numFmt numFmtId="165" formatCode="0.0%"/>
    <numFmt numFmtId="166" formatCode="0.000%"/>
    <numFmt numFmtId="167" formatCode="0.000"/>
    <numFmt numFmtId="168" formatCode="&quot;S/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9"/>
      <color theme="0"/>
      <name val="Candara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name val="Candara"/>
      <family val="2"/>
    </font>
    <font>
      <sz val="10"/>
      <name val="Cambria"/>
      <family val="1"/>
    </font>
    <font>
      <b/>
      <sz val="10"/>
      <name val="Cambria"/>
      <family val="1"/>
    </font>
    <font>
      <sz val="8"/>
      <name val="Calibri"/>
      <family val="2"/>
      <scheme val="minor"/>
    </font>
    <font>
      <sz val="9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</cellStyleXfs>
  <cellXfs count="3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3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6" fontId="0" fillId="0" borderId="0" xfId="0" applyNumberFormat="1"/>
    <xf numFmtId="0" fontId="3" fillId="2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0" fillId="6" borderId="1" xfId="0" applyFill="1" applyBorder="1"/>
    <xf numFmtId="0" fontId="6" fillId="4" borderId="1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4" fontId="0" fillId="0" borderId="0" xfId="0" applyNumberFormat="1"/>
    <xf numFmtId="2" fontId="6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/>
    <xf numFmtId="0" fontId="3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vertical="center"/>
    </xf>
    <xf numFmtId="0" fontId="4" fillId="8" borderId="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4" fillId="8" borderId="7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2" fontId="4" fillId="6" borderId="8" xfId="0" applyNumberFormat="1" applyFont="1" applyFill="1" applyBorder="1" applyAlignment="1">
      <alignment horizontal="center" vertical="center" wrapText="1"/>
    </xf>
    <xf numFmtId="9" fontId="4" fillId="6" borderId="4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0" borderId="1" xfId="0" applyBorder="1"/>
    <xf numFmtId="3" fontId="3" fillId="7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3" fontId="4" fillId="5" borderId="5" xfId="0" applyNumberFormat="1" applyFont="1" applyFill="1" applyBorder="1" applyAlignment="1">
      <alignment horizontal="center" vertical="center"/>
    </xf>
    <xf numFmtId="3" fontId="3" fillId="7" borderId="7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3" fontId="4" fillId="5" borderId="13" xfId="0" applyNumberFormat="1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 wrapText="1"/>
    </xf>
    <xf numFmtId="0" fontId="0" fillId="11" borderId="0" xfId="0" applyFill="1"/>
    <xf numFmtId="0" fontId="13" fillId="11" borderId="14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/>
    </xf>
    <xf numFmtId="0" fontId="0" fillId="0" borderId="4" xfId="0" applyBorder="1"/>
    <xf numFmtId="3" fontId="4" fillId="5" borderId="2" xfId="0" applyNumberFormat="1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3" fontId="3" fillId="7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66" fontId="0" fillId="0" borderId="0" xfId="0" applyNumberFormat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11" borderId="0" xfId="0" applyFill="1" applyAlignment="1">
      <alignment wrapText="1"/>
    </xf>
    <xf numFmtId="3" fontId="4" fillId="5" borderId="5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6" fontId="3" fillId="2" borderId="9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 vertical="center" wrapText="1"/>
    </xf>
    <xf numFmtId="10" fontId="10" fillId="3" borderId="1" xfId="0" applyNumberFormat="1" applyFont="1" applyFill="1" applyBorder="1" applyAlignment="1">
      <alignment horizontal="center" vertical="center" wrapText="1"/>
    </xf>
    <xf numFmtId="3" fontId="3" fillId="7" borderId="3" xfId="0" applyNumberFormat="1" applyFont="1" applyFill="1" applyBorder="1" applyAlignment="1">
      <alignment horizontal="center" vertical="center"/>
    </xf>
    <xf numFmtId="3" fontId="4" fillId="5" borderId="14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5" fillId="6" borderId="1" xfId="0" applyNumberFormat="1" applyFont="1" applyFill="1" applyBorder="1" applyAlignment="1">
      <alignment horizontal="center" vertical="center" wrapText="1"/>
    </xf>
    <xf numFmtId="9" fontId="6" fillId="8" borderId="1" xfId="0" applyNumberFormat="1" applyFont="1" applyFill="1" applyBorder="1" applyAlignment="1">
      <alignment horizontal="center" vertical="center" wrapText="1"/>
    </xf>
    <xf numFmtId="10" fontId="6" fillId="8" borderId="1" xfId="0" applyNumberFormat="1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11" borderId="10" xfId="0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4" fillId="0" borderId="0" xfId="0" applyFont="1"/>
    <xf numFmtId="1" fontId="4" fillId="3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/>
    </xf>
    <xf numFmtId="0" fontId="14" fillId="11" borderId="0" xfId="0" applyFont="1" applyFill="1" applyAlignment="1">
      <alignment horizontal="center" vertical="center"/>
    </xf>
    <xf numFmtId="0" fontId="14" fillId="11" borderId="0" xfId="0" applyFont="1" applyFill="1" applyAlignment="1">
      <alignment vertical="center"/>
    </xf>
    <xf numFmtId="0" fontId="14" fillId="11" borderId="0" xfId="0" applyFont="1" applyFill="1" applyAlignment="1">
      <alignment vertical="center" wrapText="1"/>
    </xf>
    <xf numFmtId="3" fontId="6" fillId="11" borderId="0" xfId="0" applyNumberFormat="1" applyFont="1" applyFill="1" applyAlignment="1">
      <alignment horizontal="center" vertical="center"/>
    </xf>
    <xf numFmtId="1" fontId="15" fillId="11" borderId="0" xfId="4" applyNumberFormat="1" applyFont="1" applyFill="1" applyAlignment="1">
      <alignment horizontal="center" vertical="center"/>
    </xf>
    <xf numFmtId="3" fontId="0" fillId="11" borderId="0" xfId="0" applyNumberFormat="1" applyFill="1"/>
    <xf numFmtId="1" fontId="12" fillId="11" borderId="0" xfId="3" quotePrefix="1" applyNumberFormat="1" applyFont="1" applyFill="1" applyAlignment="1">
      <alignment horizontal="center" vertical="center" wrapText="1"/>
    </xf>
    <xf numFmtId="3" fontId="8" fillId="11" borderId="0" xfId="2" applyNumberFormat="1" applyFill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1" xfId="0" applyBorder="1"/>
    <xf numFmtId="3" fontId="3" fillId="7" borderId="9" xfId="0" applyNumberFormat="1" applyFont="1" applyFill="1" applyBorder="1" applyAlignment="1">
      <alignment horizontal="center" vertical="center"/>
    </xf>
    <xf numFmtId="3" fontId="4" fillId="5" borderId="12" xfId="0" applyNumberFormat="1" applyFont="1" applyFill="1" applyBorder="1" applyAlignment="1">
      <alignment horizontal="center" vertical="center"/>
    </xf>
    <xf numFmtId="3" fontId="16" fillId="7" borderId="0" xfId="0" applyNumberFormat="1" applyFont="1" applyFill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3" fontId="13" fillId="7" borderId="9" xfId="0" applyNumberFormat="1" applyFont="1" applyFill="1" applyBorder="1" applyAlignment="1">
      <alignment horizontal="center" vertical="center" wrapText="1"/>
    </xf>
    <xf numFmtId="3" fontId="3" fillId="7" borderId="15" xfId="0" applyNumberFormat="1" applyFont="1" applyFill="1" applyBorder="1" applyAlignment="1">
      <alignment horizontal="center" vertical="center"/>
    </xf>
    <xf numFmtId="3" fontId="3" fillId="7" borderId="11" xfId="0" applyNumberFormat="1" applyFont="1" applyFill="1" applyBorder="1" applyAlignment="1">
      <alignment horizontal="center" vertical="center"/>
    </xf>
    <xf numFmtId="3" fontId="3" fillId="7" borderId="12" xfId="0" applyNumberFormat="1" applyFont="1" applyFill="1" applyBorder="1" applyAlignment="1">
      <alignment horizontal="center" vertical="center"/>
    </xf>
    <xf numFmtId="3" fontId="3" fillId="7" borderId="14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3" fontId="3" fillId="7" borderId="11" xfId="0" applyNumberFormat="1" applyFont="1" applyFill="1" applyBorder="1" applyAlignment="1">
      <alignment horizontal="center" vertical="center" wrapText="1"/>
    </xf>
    <xf numFmtId="3" fontId="3" fillId="7" borderId="9" xfId="0" applyNumberFormat="1" applyFont="1" applyFill="1" applyBorder="1" applyAlignment="1">
      <alignment horizontal="center" vertical="center" wrapText="1"/>
    </xf>
    <xf numFmtId="3" fontId="3" fillId="7" borderId="15" xfId="0" applyNumberFormat="1" applyFont="1" applyFill="1" applyBorder="1" applyAlignment="1">
      <alignment horizontal="center" vertical="center" wrapText="1"/>
    </xf>
    <xf numFmtId="3" fontId="3" fillId="7" borderId="14" xfId="0" applyNumberFormat="1" applyFont="1" applyFill="1" applyBorder="1" applyAlignment="1">
      <alignment horizontal="center" vertical="center" wrapText="1"/>
    </xf>
    <xf numFmtId="3" fontId="3" fillId="7" borderId="12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8" fontId="13" fillId="7" borderId="9" xfId="0" applyNumberFormat="1" applyFont="1" applyFill="1" applyBorder="1" applyAlignment="1">
      <alignment horizontal="center" vertical="center" wrapText="1"/>
    </xf>
    <xf numFmtId="49" fontId="19" fillId="7" borderId="1" xfId="0" applyNumberFormat="1" applyFont="1" applyFill="1" applyBorder="1" applyAlignment="1">
      <alignment horizontal="center" vertical="center" wrapText="1"/>
    </xf>
    <xf numFmtId="3" fontId="3" fillId="7" borderId="3" xfId="0" applyNumberFormat="1" applyFont="1" applyFill="1" applyBorder="1" applyAlignment="1">
      <alignment horizontal="center" vertical="center" wrapText="1"/>
    </xf>
    <xf numFmtId="2" fontId="19" fillId="7" borderId="1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2" xfId="0" applyNumberFormat="1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18" fontId="13" fillId="7" borderId="1" xfId="0" applyNumberFormat="1" applyFont="1" applyFill="1" applyBorder="1" applyAlignment="1">
      <alignment horizontal="center" vertical="center" wrapText="1"/>
    </xf>
    <xf numFmtId="168" fontId="5" fillId="6" borderId="1" xfId="0" applyNumberFormat="1" applyFont="1" applyFill="1" applyBorder="1" applyAlignment="1">
      <alignment horizontal="right" vertical="center" wrapText="1"/>
    </xf>
    <xf numFmtId="168" fontId="3" fillId="6" borderId="1" xfId="0" applyNumberFormat="1" applyFont="1" applyFill="1" applyBorder="1" applyAlignment="1">
      <alignment horizontal="right" vertical="center"/>
    </xf>
    <xf numFmtId="9" fontId="0" fillId="0" borderId="0" xfId="0" applyNumberFormat="1"/>
    <xf numFmtId="168" fontId="4" fillId="6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textRotation="90" wrapText="1"/>
    </xf>
    <xf numFmtId="0" fontId="10" fillId="3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1" fontId="6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" fillId="3" borderId="16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7" borderId="0" xfId="0" applyFont="1" applyFill="1" applyAlignment="1">
      <alignment horizontal="center" vertical="center" wrapText="1"/>
    </xf>
    <xf numFmtId="3" fontId="3" fillId="7" borderId="0" xfId="0" applyNumberFormat="1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0" borderId="0" xfId="0"/>
    <xf numFmtId="0" fontId="3" fillId="7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" fontId="3" fillId="2" borderId="14" xfId="0" applyNumberFormat="1" applyFont="1" applyFill="1" applyBorder="1" applyAlignment="1">
      <alignment horizontal="center" vertical="center" wrapText="1"/>
    </xf>
    <xf numFmtId="1" fontId="3" fillId="2" borderId="13" xfId="0" applyNumberFormat="1" applyFont="1" applyFill="1" applyBorder="1" applyAlignment="1">
      <alignment horizontal="center" vertical="center" wrapText="1"/>
    </xf>
    <xf numFmtId="1" fontId="3" fillId="2" borderId="11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 wrapText="1"/>
    </xf>
    <xf numFmtId="1" fontId="3" fillId="2" borderId="9" xfId="0" applyNumberFormat="1" applyFont="1" applyFill="1" applyBorder="1" applyAlignment="1">
      <alignment horizontal="center" vertical="center" wrapText="1"/>
    </xf>
    <xf numFmtId="1" fontId="3" fillId="2" borderId="8" xfId="0" applyNumberFormat="1" applyFont="1" applyFill="1" applyBorder="1" applyAlignment="1">
      <alignment horizontal="center" vertical="center" wrapText="1"/>
    </xf>
    <xf numFmtId="0" fontId="0" fillId="11" borderId="0" xfId="0" applyFill="1"/>
    <xf numFmtId="0" fontId="4" fillId="4" borderId="14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right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168" fontId="0" fillId="0" borderId="0" xfId="0" applyNumberFormat="1"/>
    <xf numFmtId="168" fontId="4" fillId="6" borderId="1" xfId="0" applyNumberFormat="1" applyFont="1" applyFill="1" applyBorder="1" applyAlignment="1">
      <alignment horizontal="center" vertical="center" wrapText="1"/>
    </xf>
    <xf numFmtId="168" fontId="4" fillId="8" borderId="1" xfId="0" applyNumberFormat="1" applyFont="1" applyFill="1" applyBorder="1" applyAlignment="1">
      <alignment horizontal="center" vertical="center" wrapText="1"/>
    </xf>
    <xf numFmtId="168" fontId="3" fillId="3" borderId="1" xfId="0" applyNumberFormat="1" applyFont="1" applyFill="1" applyBorder="1" applyAlignment="1">
      <alignment horizontal="center" vertical="center" wrapText="1"/>
    </xf>
    <xf numFmtId="168" fontId="3" fillId="3" borderId="16" xfId="0" applyNumberFormat="1" applyFont="1" applyFill="1" applyBorder="1" applyAlignment="1">
      <alignment horizontal="center" vertical="center" wrapText="1"/>
    </xf>
    <xf numFmtId="168" fontId="4" fillId="6" borderId="7" xfId="0" applyNumberFormat="1" applyFont="1" applyFill="1" applyBorder="1" applyAlignment="1">
      <alignment horizontal="center" vertical="center" wrapText="1"/>
    </xf>
    <xf numFmtId="168" fontId="3" fillId="8" borderId="1" xfId="0" applyNumberFormat="1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44" fontId="7" fillId="10" borderId="7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44" fontId="4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wrapText="1"/>
    </xf>
    <xf numFmtId="44" fontId="3" fillId="6" borderId="1" xfId="0" applyNumberFormat="1" applyFont="1" applyFill="1" applyBorder="1" applyAlignment="1">
      <alignment horizontal="center" vertical="center" wrapText="1"/>
    </xf>
    <xf numFmtId="44" fontId="3" fillId="6" borderId="1" xfId="0" applyNumberFormat="1" applyFont="1" applyFill="1" applyBorder="1" applyAlignment="1">
      <alignment horizontal="center" wrapText="1"/>
    </xf>
    <xf numFmtId="44" fontId="0" fillId="6" borderId="1" xfId="0" applyNumberForma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44" fontId="4" fillId="10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wrapText="1"/>
    </xf>
    <xf numFmtId="0" fontId="16" fillId="7" borderId="1" xfId="0" applyFont="1" applyFill="1" applyBorder="1" applyAlignment="1">
      <alignment vertical="center" wrapText="1"/>
    </xf>
    <xf numFmtId="0" fontId="16" fillId="7" borderId="6" xfId="0" applyFont="1" applyFill="1" applyBorder="1" applyAlignment="1">
      <alignment horizontal="center" vertical="center" wrapText="1"/>
    </xf>
    <xf numFmtId="168" fontId="4" fillId="6" borderId="8" xfId="0" applyNumberFormat="1" applyFont="1" applyFill="1" applyBorder="1" applyAlignment="1">
      <alignment horizontal="center" vertical="center" wrapText="1"/>
    </xf>
  </cellXfs>
  <cellStyles count="5">
    <cellStyle name="Moneda" xfId="1" builtinId="4"/>
    <cellStyle name="Normal" xfId="0" builtinId="0"/>
    <cellStyle name="Normal 11 2" xfId="4" xr:uid="{00000000-0005-0000-0000-000002000000}"/>
    <cellStyle name="Normal 2 2 2 2" xfId="3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114300</xdr:colOff>
      <xdr:row>3</xdr:row>
      <xdr:rowOff>175932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039535" y="261881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PE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X20"/>
  <sheetViews>
    <sheetView topLeftCell="G1" workbookViewId="0">
      <selection activeCell="O16" sqref="O16"/>
    </sheetView>
  </sheetViews>
  <sheetFormatPr baseColWidth="10" defaultRowHeight="15" x14ac:dyDescent="0.25"/>
  <cols>
    <col min="2" max="2" width="15.85546875" customWidth="1"/>
    <col min="4" max="4" width="21.28515625" customWidth="1"/>
    <col min="5" max="5" width="15.140625" customWidth="1"/>
    <col min="8" max="8" width="32.7109375" customWidth="1"/>
    <col min="9" max="9" width="6.42578125" customWidth="1"/>
    <col min="10" max="10" width="6.5703125" customWidth="1"/>
    <col min="11" max="11" width="5" customWidth="1"/>
    <col min="12" max="23" width="3.7109375" bestFit="1" customWidth="1"/>
  </cols>
  <sheetData>
    <row r="3" spans="2:24" x14ac:dyDescent="0.25">
      <c r="B3" s="100" t="s">
        <v>144</v>
      </c>
      <c r="C3" s="217" t="s">
        <v>145</v>
      </c>
      <c r="D3" s="217"/>
      <c r="E3" s="100" t="s">
        <v>65</v>
      </c>
    </row>
    <row r="4" spans="2:24" x14ac:dyDescent="0.25">
      <c r="B4" s="101"/>
      <c r="C4" s="101"/>
      <c r="D4" s="101"/>
      <c r="E4" s="101" t="s">
        <v>150</v>
      </c>
    </row>
    <row r="5" spans="2:24" ht="89.25" x14ac:dyDescent="0.25">
      <c r="B5" s="102" t="s">
        <v>147</v>
      </c>
      <c r="C5" s="102" t="s">
        <v>148</v>
      </c>
      <c r="D5" s="102" t="s">
        <v>146</v>
      </c>
      <c r="E5" s="102" t="s">
        <v>149</v>
      </c>
    </row>
    <row r="6" spans="2:24" ht="29.25" customHeight="1" x14ac:dyDescent="0.25">
      <c r="B6" s="57"/>
      <c r="C6" s="57"/>
      <c r="D6" s="57"/>
      <c r="E6" s="57"/>
      <c r="H6" s="213" t="s">
        <v>71</v>
      </c>
      <c r="I6" s="214" t="s">
        <v>469</v>
      </c>
      <c r="J6" s="214"/>
      <c r="K6" s="215" t="s">
        <v>176</v>
      </c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</row>
    <row r="7" spans="2:24" x14ac:dyDescent="0.25">
      <c r="H7" s="213"/>
      <c r="I7" s="104">
        <v>2024</v>
      </c>
      <c r="J7" s="104">
        <v>2025</v>
      </c>
      <c r="K7" s="216" t="s">
        <v>162</v>
      </c>
      <c r="L7" s="216" t="s">
        <v>163</v>
      </c>
      <c r="M7" s="216" t="s">
        <v>164</v>
      </c>
      <c r="N7" s="216" t="s">
        <v>165</v>
      </c>
      <c r="O7" s="216" t="s">
        <v>166</v>
      </c>
      <c r="P7" s="216" t="s">
        <v>167</v>
      </c>
      <c r="Q7" s="216" t="s">
        <v>168</v>
      </c>
      <c r="R7" s="216" t="s">
        <v>169</v>
      </c>
      <c r="S7" s="216" t="s">
        <v>170</v>
      </c>
      <c r="T7" s="216" t="s">
        <v>171</v>
      </c>
      <c r="U7" s="216" t="s">
        <v>172</v>
      </c>
      <c r="V7" s="216" t="s">
        <v>173</v>
      </c>
      <c r="W7" s="216" t="s">
        <v>174</v>
      </c>
      <c r="X7" s="34"/>
    </row>
    <row r="8" spans="2:24" ht="23.25" customHeight="1" x14ac:dyDescent="0.25">
      <c r="H8" s="213"/>
      <c r="I8" s="104"/>
      <c r="J8" s="104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34"/>
    </row>
    <row r="9" spans="2:24" x14ac:dyDescent="0.25">
      <c r="H9" s="101" t="s">
        <v>160</v>
      </c>
      <c r="I9" s="210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2"/>
      <c r="X9" s="34"/>
    </row>
    <row r="10" spans="2:24" x14ac:dyDescent="0.25">
      <c r="H10" s="103" t="s">
        <v>151</v>
      </c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34"/>
    </row>
    <row r="11" spans="2:24" x14ac:dyDescent="0.25">
      <c r="H11" s="103" t="s">
        <v>152</v>
      </c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34"/>
    </row>
    <row r="12" spans="2:24" x14ac:dyDescent="0.25">
      <c r="H12" s="103" t="s">
        <v>153</v>
      </c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34"/>
    </row>
    <row r="13" spans="2:24" x14ac:dyDescent="0.25">
      <c r="H13" s="103" t="s">
        <v>154</v>
      </c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34"/>
    </row>
    <row r="14" spans="2:24" x14ac:dyDescent="0.25">
      <c r="H14" s="103" t="s">
        <v>155</v>
      </c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34"/>
    </row>
    <row r="15" spans="2:24" x14ac:dyDescent="0.25">
      <c r="H15" s="103" t="s">
        <v>156</v>
      </c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34"/>
    </row>
    <row r="16" spans="2:24" x14ac:dyDescent="0.25">
      <c r="H16" s="103" t="s">
        <v>157</v>
      </c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34"/>
    </row>
    <row r="17" spans="8:24" x14ac:dyDescent="0.25">
      <c r="H17" s="103" t="s">
        <v>158</v>
      </c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34"/>
    </row>
    <row r="18" spans="8:24" x14ac:dyDescent="0.25">
      <c r="H18" s="103" t="s">
        <v>159</v>
      </c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34"/>
    </row>
    <row r="19" spans="8:24" x14ac:dyDescent="0.25">
      <c r="H19" s="101" t="s">
        <v>161</v>
      </c>
      <c r="I19" s="210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2"/>
      <c r="X19" s="34"/>
    </row>
    <row r="20" spans="8:24" x14ac:dyDescent="0.25">
      <c r="H20" s="103" t="s">
        <v>149</v>
      </c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</row>
  </sheetData>
  <mergeCells count="19">
    <mergeCell ref="C3:D3"/>
    <mergeCell ref="K7:K8"/>
    <mergeCell ref="L7:L8"/>
    <mergeCell ref="I19:W19"/>
    <mergeCell ref="H6:H8"/>
    <mergeCell ref="I6:J6"/>
    <mergeCell ref="K6:W6"/>
    <mergeCell ref="T7:T8"/>
    <mergeCell ref="U7:U8"/>
    <mergeCell ref="V7:V8"/>
    <mergeCell ref="W7:W8"/>
    <mergeCell ref="I9:W9"/>
    <mergeCell ref="N7:N8"/>
    <mergeCell ref="O7:O8"/>
    <mergeCell ref="P7:P8"/>
    <mergeCell ref="Q7:Q8"/>
    <mergeCell ref="R7:R8"/>
    <mergeCell ref="S7:S8"/>
    <mergeCell ref="M7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49"/>
  <sheetViews>
    <sheetView workbookViewId="0">
      <selection activeCell="B3" sqref="B3:C28"/>
    </sheetView>
  </sheetViews>
  <sheetFormatPr baseColWidth="10" defaultRowHeight="15" x14ac:dyDescent="0.25"/>
  <cols>
    <col min="2" max="2" width="31.140625" style="2" customWidth="1"/>
    <col min="3" max="3" width="28.5703125" customWidth="1"/>
    <col min="4" max="4" width="23.85546875" customWidth="1"/>
  </cols>
  <sheetData>
    <row r="3" spans="2:4" ht="25.5" customHeight="1" x14ac:dyDescent="0.25">
      <c r="B3" s="104" t="s">
        <v>223</v>
      </c>
      <c r="C3" s="104" t="s">
        <v>71</v>
      </c>
    </row>
    <row r="4" spans="2:4" ht="25.5" customHeight="1" x14ac:dyDescent="0.25">
      <c r="B4" s="140" t="s">
        <v>328</v>
      </c>
      <c r="C4" s="140" t="s">
        <v>310</v>
      </c>
      <c r="D4" t="s">
        <v>337</v>
      </c>
    </row>
    <row r="5" spans="2:4" ht="25.5" customHeight="1" x14ac:dyDescent="0.25">
      <c r="B5" s="140" t="s">
        <v>311</v>
      </c>
      <c r="C5" s="140" t="s">
        <v>312</v>
      </c>
      <c r="D5" t="s">
        <v>337</v>
      </c>
    </row>
    <row r="6" spans="2:4" x14ac:dyDescent="0.25">
      <c r="B6" s="219" t="s">
        <v>224</v>
      </c>
      <c r="C6" s="140" t="s">
        <v>227</v>
      </c>
      <c r="D6" s="178" t="s">
        <v>337</v>
      </c>
    </row>
    <row r="7" spans="2:4" x14ac:dyDescent="0.25">
      <c r="B7" s="340"/>
      <c r="C7" s="140" t="s">
        <v>228</v>
      </c>
      <c r="D7" s="178"/>
    </row>
    <row r="8" spans="2:4" x14ac:dyDescent="0.25">
      <c r="B8" s="220"/>
      <c r="C8" s="140" t="s">
        <v>229</v>
      </c>
      <c r="D8" s="178" t="s">
        <v>344</v>
      </c>
    </row>
    <row r="9" spans="2:4" ht="25.5" x14ac:dyDescent="0.25">
      <c r="B9" s="219" t="s">
        <v>478</v>
      </c>
      <c r="C9" s="140" t="s">
        <v>236</v>
      </c>
      <c r="D9" s="178"/>
    </row>
    <row r="10" spans="2:4" ht="25.5" x14ac:dyDescent="0.25">
      <c r="B10" s="340"/>
      <c r="C10" s="140" t="s">
        <v>237</v>
      </c>
      <c r="D10" s="178"/>
    </row>
    <row r="11" spans="2:4" ht="25.5" x14ac:dyDescent="0.25">
      <c r="B11" s="340"/>
      <c r="C11" s="140" t="s">
        <v>230</v>
      </c>
      <c r="D11" s="178"/>
    </row>
    <row r="12" spans="2:4" ht="25.5" x14ac:dyDescent="0.25">
      <c r="B12" s="340"/>
      <c r="C12" s="140" t="s">
        <v>232</v>
      </c>
      <c r="D12" s="178"/>
    </row>
    <row r="13" spans="2:4" ht="25.5" x14ac:dyDescent="0.25">
      <c r="B13" s="220"/>
      <c r="C13" s="140" t="s">
        <v>233</v>
      </c>
      <c r="D13" s="178"/>
    </row>
    <row r="14" spans="2:4" x14ac:dyDescent="0.25">
      <c r="B14" s="218" t="s">
        <v>225</v>
      </c>
      <c r="C14" s="140" t="s">
        <v>234</v>
      </c>
      <c r="D14" t="s">
        <v>337</v>
      </c>
    </row>
    <row r="15" spans="2:4" ht="15" customHeight="1" x14ac:dyDescent="0.25">
      <c r="B15" s="218"/>
      <c r="C15" s="140" t="s">
        <v>235</v>
      </c>
      <c r="D15" t="s">
        <v>345</v>
      </c>
    </row>
    <row r="16" spans="2:4" ht="15" customHeight="1" x14ac:dyDescent="0.25">
      <c r="B16" s="218"/>
      <c r="C16" s="140" t="s">
        <v>231</v>
      </c>
    </row>
    <row r="17" spans="2:4" ht="15" customHeight="1" x14ac:dyDescent="0.25">
      <c r="B17" s="218"/>
      <c r="C17" s="140" t="s">
        <v>226</v>
      </c>
    </row>
    <row r="18" spans="2:4" ht="50.25" customHeight="1" x14ac:dyDescent="0.25">
      <c r="B18" s="140" t="s">
        <v>313</v>
      </c>
      <c r="C18" s="140" t="s">
        <v>314</v>
      </c>
      <c r="D18" t="s">
        <v>337</v>
      </c>
    </row>
    <row r="19" spans="2:4" x14ac:dyDescent="0.25">
      <c r="B19" s="140" t="s">
        <v>315</v>
      </c>
      <c r="C19" s="140" t="s">
        <v>316</v>
      </c>
    </row>
    <row r="20" spans="2:4" ht="25.5" x14ac:dyDescent="0.25">
      <c r="B20" s="201" t="s">
        <v>479</v>
      </c>
      <c r="C20" s="140" t="s">
        <v>480</v>
      </c>
    </row>
    <row r="21" spans="2:4" ht="38.25" x14ac:dyDescent="0.25">
      <c r="B21" s="201" t="s">
        <v>482</v>
      </c>
      <c r="C21" s="140" t="s">
        <v>481</v>
      </c>
    </row>
    <row r="22" spans="2:4" ht="25.5" customHeight="1" x14ac:dyDescent="0.25">
      <c r="B22" s="339" t="s">
        <v>317</v>
      </c>
      <c r="C22" s="140" t="s">
        <v>320</v>
      </c>
      <c r="D22" s="178" t="s">
        <v>337</v>
      </c>
    </row>
    <row r="23" spans="2:4" ht="25.5" x14ac:dyDescent="0.25">
      <c r="B23" s="339" t="s">
        <v>483</v>
      </c>
      <c r="C23" s="140" t="s">
        <v>339</v>
      </c>
      <c r="D23" s="178" t="s">
        <v>338</v>
      </c>
    </row>
    <row r="24" spans="2:4" x14ac:dyDescent="0.25">
      <c r="B24" s="140" t="s">
        <v>318</v>
      </c>
      <c r="C24" s="140" t="s">
        <v>319</v>
      </c>
      <c r="D24" t="s">
        <v>340</v>
      </c>
    </row>
    <row r="25" spans="2:4" x14ac:dyDescent="0.25">
      <c r="B25" s="218" t="s">
        <v>321</v>
      </c>
      <c r="C25" s="140" t="s">
        <v>322</v>
      </c>
      <c r="D25" t="s">
        <v>341</v>
      </c>
    </row>
    <row r="26" spans="2:4" x14ac:dyDescent="0.25">
      <c r="B26" s="218"/>
      <c r="C26" s="140" t="s">
        <v>323</v>
      </c>
      <c r="D26" t="s">
        <v>341</v>
      </c>
    </row>
    <row r="27" spans="2:4" x14ac:dyDescent="0.25">
      <c r="B27" s="140" t="s">
        <v>324</v>
      </c>
      <c r="C27" s="140" t="s">
        <v>325</v>
      </c>
      <c r="D27" t="s">
        <v>342</v>
      </c>
    </row>
    <row r="28" spans="2:4" x14ac:dyDescent="0.25">
      <c r="B28" s="140" t="s">
        <v>326</v>
      </c>
      <c r="C28" s="140" t="s">
        <v>327</v>
      </c>
      <c r="D28" t="s">
        <v>343</v>
      </c>
    </row>
    <row r="34" spans="3:4" x14ac:dyDescent="0.25">
      <c r="C34" s="112"/>
      <c r="D34" s="112"/>
    </row>
    <row r="35" spans="3:4" x14ac:dyDescent="0.25">
      <c r="C35" s="112"/>
      <c r="D35" s="112"/>
    </row>
    <row r="36" spans="3:4" x14ac:dyDescent="0.25">
      <c r="C36" s="112"/>
      <c r="D36" s="112"/>
    </row>
    <row r="37" spans="3:4" x14ac:dyDescent="0.25">
      <c r="C37" s="112"/>
      <c r="D37" s="112"/>
    </row>
    <row r="38" spans="3:4" x14ac:dyDescent="0.25">
      <c r="C38" s="112"/>
      <c r="D38" s="112"/>
    </row>
    <row r="39" spans="3:4" x14ac:dyDescent="0.25">
      <c r="C39" s="112"/>
      <c r="D39" s="112"/>
    </row>
    <row r="40" spans="3:4" x14ac:dyDescent="0.25">
      <c r="C40" s="112"/>
      <c r="D40" s="112"/>
    </row>
    <row r="41" spans="3:4" x14ac:dyDescent="0.25">
      <c r="C41" s="112"/>
      <c r="D41" s="112"/>
    </row>
    <row r="42" spans="3:4" x14ac:dyDescent="0.25">
      <c r="C42" s="112"/>
      <c r="D42" s="112"/>
    </row>
    <row r="43" spans="3:4" x14ac:dyDescent="0.25">
      <c r="C43" s="112"/>
      <c r="D43" s="112"/>
    </row>
    <row r="44" spans="3:4" x14ac:dyDescent="0.25">
      <c r="C44" s="112"/>
      <c r="D44" s="112"/>
    </row>
    <row r="45" spans="3:4" x14ac:dyDescent="0.25">
      <c r="C45" s="112"/>
      <c r="D45" s="112"/>
    </row>
    <row r="46" spans="3:4" x14ac:dyDescent="0.25">
      <c r="C46" s="112"/>
      <c r="D46" s="112"/>
    </row>
    <row r="47" spans="3:4" x14ac:dyDescent="0.25">
      <c r="C47" s="112"/>
      <c r="D47" s="112"/>
    </row>
    <row r="48" spans="3:4" x14ac:dyDescent="0.25">
      <c r="C48" s="112"/>
      <c r="D48" s="112"/>
    </row>
    <row r="49" spans="3:4" x14ac:dyDescent="0.25">
      <c r="C49" s="112"/>
      <c r="D49" s="112"/>
    </row>
  </sheetData>
  <mergeCells count="4">
    <mergeCell ref="B14:B17"/>
    <mergeCell ref="B25:B26"/>
    <mergeCell ref="B6:B8"/>
    <mergeCell ref="B9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6"/>
  <sheetViews>
    <sheetView zoomScale="85" zoomScaleNormal="85" workbookViewId="0">
      <selection activeCell="AV20" sqref="AV20"/>
    </sheetView>
  </sheetViews>
  <sheetFormatPr baseColWidth="10" defaultRowHeight="15" x14ac:dyDescent="0.25"/>
  <cols>
    <col min="1" max="1" width="5.28515625" customWidth="1"/>
    <col min="2" max="2" width="15.28515625" customWidth="1"/>
    <col min="3" max="3" width="8.140625" customWidth="1"/>
    <col min="4" max="4" width="9.140625" customWidth="1"/>
    <col min="5" max="5" width="7" customWidth="1"/>
    <col min="6" max="6" width="6.85546875" customWidth="1"/>
    <col min="7" max="7" width="7" customWidth="1"/>
    <col min="8" max="8" width="6.85546875" customWidth="1"/>
    <col min="9" max="9" width="7" customWidth="1"/>
    <col min="10" max="10" width="6.85546875" customWidth="1"/>
    <col min="11" max="11" width="7" customWidth="1"/>
    <col min="12" max="12" width="6.85546875" customWidth="1"/>
    <col min="13" max="13" width="8.28515625" customWidth="1"/>
    <col min="14" max="14" width="7.85546875" customWidth="1"/>
    <col min="15" max="15" width="8.85546875" customWidth="1"/>
    <col min="16" max="18" width="6.85546875" customWidth="1"/>
    <col min="19" max="20" width="7" customWidth="1"/>
    <col min="21" max="21" width="6.85546875" customWidth="1"/>
    <col min="22" max="22" width="6.28515625" customWidth="1"/>
    <col min="23" max="23" width="8.5703125" customWidth="1"/>
    <col min="24" max="24" width="6.140625" customWidth="1"/>
    <col min="25" max="25" width="9.42578125" customWidth="1"/>
    <col min="26" max="26" width="11.42578125" customWidth="1"/>
    <col min="28" max="28" width="13.28515625" customWidth="1"/>
    <col min="29" max="29" width="13" customWidth="1"/>
  </cols>
  <sheetData>
    <row r="1" spans="1:40" x14ac:dyDescent="0.2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spans="1:40" ht="20.25" customHeight="1" x14ac:dyDescent="0.25">
      <c r="B2" s="240" t="s">
        <v>15</v>
      </c>
      <c r="C2" s="241" t="s">
        <v>14</v>
      </c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L2" s="9"/>
      <c r="AM2" s="10"/>
    </row>
    <row r="3" spans="1:40" ht="19.5" customHeight="1" x14ac:dyDescent="0.25">
      <c r="B3" s="240"/>
      <c r="C3" s="47">
        <v>0</v>
      </c>
      <c r="D3" s="47">
        <v>1</v>
      </c>
      <c r="E3" s="47">
        <v>2</v>
      </c>
      <c r="F3" s="47">
        <v>3</v>
      </c>
      <c r="G3" s="47">
        <v>4</v>
      </c>
      <c r="H3" s="47">
        <v>5</v>
      </c>
      <c r="I3" s="47">
        <v>6</v>
      </c>
      <c r="J3" s="47">
        <v>7</v>
      </c>
      <c r="K3" s="47">
        <v>8</v>
      </c>
      <c r="L3" s="47">
        <v>9</v>
      </c>
      <c r="M3" s="47">
        <v>10</v>
      </c>
      <c r="N3" s="47">
        <v>11</v>
      </c>
      <c r="O3" s="47">
        <v>12</v>
      </c>
      <c r="P3" s="47">
        <v>13</v>
      </c>
      <c r="Q3" s="47">
        <v>14</v>
      </c>
      <c r="R3" s="24">
        <v>15</v>
      </c>
      <c r="S3" s="45" t="s">
        <v>177</v>
      </c>
      <c r="T3" s="45" t="s">
        <v>178</v>
      </c>
      <c r="U3" s="45" t="s">
        <v>179</v>
      </c>
      <c r="V3" s="163">
        <v>19</v>
      </c>
      <c r="W3" s="46" t="s">
        <v>13</v>
      </c>
      <c r="X3" s="24" t="s">
        <v>1</v>
      </c>
      <c r="Y3" s="24" t="s">
        <v>2</v>
      </c>
      <c r="Z3" s="24" t="s">
        <v>3</v>
      </c>
      <c r="AA3" s="24" t="s">
        <v>4</v>
      </c>
      <c r="AB3" s="24" t="s">
        <v>5</v>
      </c>
      <c r="AC3" s="24" t="s">
        <v>6</v>
      </c>
      <c r="AD3" s="24" t="s">
        <v>7</v>
      </c>
      <c r="AE3" s="24" t="s">
        <v>8</v>
      </c>
      <c r="AF3" s="24" t="s">
        <v>9</v>
      </c>
      <c r="AG3" s="24" t="s">
        <v>10</v>
      </c>
      <c r="AH3" s="24" t="s">
        <v>11</v>
      </c>
      <c r="AI3" s="27" t="s">
        <v>12</v>
      </c>
      <c r="AJ3" s="47" t="s">
        <v>17</v>
      </c>
      <c r="AL3" s="10"/>
    </row>
    <row r="4" spans="1:40" ht="26.25" customHeight="1" x14ac:dyDescent="0.25">
      <c r="B4" s="49" t="s">
        <v>175</v>
      </c>
      <c r="C4" s="49">
        <v>7</v>
      </c>
      <c r="D4" s="49">
        <v>5</v>
      </c>
      <c r="E4" s="49">
        <v>13</v>
      </c>
      <c r="F4" s="49">
        <v>15</v>
      </c>
      <c r="G4" s="49">
        <v>13</v>
      </c>
      <c r="H4" s="49">
        <v>11</v>
      </c>
      <c r="I4" s="49">
        <v>7</v>
      </c>
      <c r="J4" s="49">
        <v>7</v>
      </c>
      <c r="K4" s="49">
        <v>7</v>
      </c>
      <c r="L4" s="49">
        <v>6</v>
      </c>
      <c r="M4" s="49">
        <v>5</v>
      </c>
      <c r="N4" s="49">
        <v>8</v>
      </c>
      <c r="O4" s="49">
        <v>7</v>
      </c>
      <c r="P4" s="49">
        <v>9</v>
      </c>
      <c r="Q4" s="49">
        <v>7</v>
      </c>
      <c r="R4" s="43">
        <v>5</v>
      </c>
      <c r="S4" s="43">
        <v>6</v>
      </c>
      <c r="T4" s="43">
        <v>5</v>
      </c>
      <c r="U4" s="43">
        <v>7</v>
      </c>
      <c r="V4" s="43">
        <v>6</v>
      </c>
      <c r="W4" s="43">
        <v>41</v>
      </c>
      <c r="X4" s="43">
        <v>47</v>
      </c>
      <c r="Y4" s="43">
        <v>40</v>
      </c>
      <c r="Z4" s="43">
        <v>32</v>
      </c>
      <c r="AA4" s="43">
        <v>34</v>
      </c>
      <c r="AB4" s="43">
        <v>29</v>
      </c>
      <c r="AC4" s="43">
        <v>25</v>
      </c>
      <c r="AD4" s="44">
        <v>23</v>
      </c>
      <c r="AE4" s="43">
        <v>23</v>
      </c>
      <c r="AF4" s="44">
        <v>16</v>
      </c>
      <c r="AG4" s="43">
        <v>13</v>
      </c>
      <c r="AH4" s="44">
        <v>9</v>
      </c>
      <c r="AI4" s="43">
        <v>19</v>
      </c>
      <c r="AJ4" s="48">
        <f>SUM(C4:AI4)</f>
        <v>507</v>
      </c>
      <c r="AL4" s="10"/>
    </row>
    <row r="5" spans="1:40" ht="27" customHeight="1" x14ac:dyDescent="0.25"/>
    <row r="6" spans="1:40" x14ac:dyDescent="0.25"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</row>
    <row r="7" spans="1:40" ht="18" customHeight="1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67"/>
      <c r="T7" s="167"/>
      <c r="U7" s="167"/>
      <c r="V7" s="167"/>
      <c r="W7" s="167"/>
      <c r="X7" s="167"/>
      <c r="Y7" s="15"/>
      <c r="Z7" s="15"/>
      <c r="AA7" s="15"/>
      <c r="AB7" s="15"/>
    </row>
    <row r="8" spans="1:40" ht="18" customHeight="1" x14ac:dyDescent="0.25">
      <c r="B8" s="229" t="s">
        <v>141</v>
      </c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S8" s="112"/>
      <c r="T8" s="112"/>
      <c r="U8" s="112"/>
      <c r="V8" s="112"/>
      <c r="W8" s="112"/>
      <c r="X8" s="173"/>
      <c r="Y8" s="161"/>
      <c r="Z8" s="181">
        <f>+SUM(V4:AI4)</f>
        <v>357</v>
      </c>
      <c r="AA8" s="161"/>
      <c r="AB8" s="161"/>
      <c r="AC8" s="161"/>
      <c r="AD8" s="161"/>
      <c r="AE8" s="161"/>
    </row>
    <row r="9" spans="1:40" ht="18" customHeight="1" x14ac:dyDescent="0.25">
      <c r="B9" s="24" t="s">
        <v>0</v>
      </c>
      <c r="C9" s="235" t="s">
        <v>21</v>
      </c>
      <c r="D9" s="236"/>
      <c r="E9" s="239" t="s">
        <v>18</v>
      </c>
      <c r="F9" s="239"/>
      <c r="G9" s="239"/>
      <c r="H9" s="239"/>
      <c r="I9" s="231" t="s">
        <v>19</v>
      </c>
      <c r="J9" s="232"/>
      <c r="K9" s="231" t="s">
        <v>20</v>
      </c>
      <c r="L9" s="232"/>
      <c r="M9" s="230" t="s">
        <v>329</v>
      </c>
      <c r="N9" s="230"/>
      <c r="O9" s="230"/>
      <c r="S9" s="223"/>
      <c r="T9" s="223"/>
      <c r="U9" s="223"/>
      <c r="V9" s="223"/>
      <c r="W9" s="223"/>
      <c r="X9" s="112"/>
      <c r="AA9" s="12"/>
      <c r="AB9" s="10"/>
    </row>
    <row r="10" spans="1:40" ht="21" customHeight="1" x14ac:dyDescent="0.25">
      <c r="B10" s="24"/>
      <c r="C10" s="237"/>
      <c r="D10" s="238"/>
      <c r="E10" s="20" t="s">
        <v>333</v>
      </c>
      <c r="F10" s="166" t="s">
        <v>203</v>
      </c>
      <c r="G10" s="165" t="s">
        <v>204</v>
      </c>
      <c r="H10" s="165" t="s">
        <v>205</v>
      </c>
      <c r="I10" s="233"/>
      <c r="J10" s="234"/>
      <c r="K10" s="233"/>
      <c r="L10" s="234"/>
      <c r="M10" s="20" t="s">
        <v>330</v>
      </c>
      <c r="N10" s="20" t="s">
        <v>331</v>
      </c>
      <c r="O10" s="123" t="s">
        <v>332</v>
      </c>
      <c r="S10" s="168"/>
      <c r="T10" s="168"/>
      <c r="U10" s="168"/>
      <c r="V10" s="168"/>
      <c r="W10" s="168"/>
      <c r="X10" s="173"/>
      <c r="AA10" s="12"/>
      <c r="AB10" s="10"/>
    </row>
    <row r="11" spans="1:40" ht="16.5" customHeight="1" x14ac:dyDescent="0.25">
      <c r="B11" s="50" t="s">
        <v>142</v>
      </c>
      <c r="C11" s="225">
        <f>+SUM(C4:G4)</f>
        <v>53</v>
      </c>
      <c r="D11" s="226"/>
      <c r="E11" s="44">
        <v>257</v>
      </c>
      <c r="F11" s="44">
        <v>17</v>
      </c>
      <c r="G11" s="164">
        <v>14</v>
      </c>
      <c r="H11" s="164">
        <v>115</v>
      </c>
      <c r="I11" s="226">
        <v>18</v>
      </c>
      <c r="J11" s="226"/>
      <c r="K11" s="226">
        <v>7</v>
      </c>
      <c r="L11" s="226"/>
      <c r="M11" s="44">
        <v>3</v>
      </c>
      <c r="N11" s="44">
        <v>3</v>
      </c>
      <c r="O11" s="164">
        <v>3</v>
      </c>
      <c r="S11" s="169"/>
      <c r="T11" s="169"/>
      <c r="U11" s="169"/>
      <c r="V11" s="169"/>
      <c r="W11" s="170"/>
      <c r="X11" s="112"/>
    </row>
    <row r="12" spans="1:40" ht="16.5" customHeight="1" x14ac:dyDescent="0.25">
      <c r="S12" s="171"/>
      <c r="T12" s="171"/>
      <c r="U12" s="171"/>
      <c r="V12" s="171"/>
      <c r="W12" s="171"/>
      <c r="X12" s="112"/>
    </row>
    <row r="13" spans="1:40" ht="27.75" customHeight="1" x14ac:dyDescent="0.25">
      <c r="S13" s="172"/>
      <c r="T13" s="172"/>
      <c r="U13" s="172"/>
      <c r="V13" s="172"/>
      <c r="W13" s="172"/>
      <c r="X13" s="112"/>
    </row>
    <row r="14" spans="1:40" ht="15.75" customHeight="1" x14ac:dyDescent="0.25">
      <c r="A14" s="16"/>
      <c r="B14" s="227" t="s">
        <v>23</v>
      </c>
      <c r="C14" s="227"/>
      <c r="D14" s="227"/>
      <c r="E14" s="16"/>
      <c r="F14" s="16"/>
      <c r="G14" s="16"/>
      <c r="H14" s="16"/>
      <c r="I14" s="16"/>
      <c r="J14" s="16"/>
      <c r="K14" s="16"/>
      <c r="L14" s="4"/>
      <c r="M14" s="4"/>
      <c r="N14" s="4"/>
      <c r="S14" s="172"/>
      <c r="T14" s="172"/>
      <c r="U14" s="172"/>
      <c r="V14" s="172"/>
      <c r="W14" s="172"/>
      <c r="X14" s="112"/>
      <c r="AB14" s="10"/>
    </row>
    <row r="15" spans="1:40" x14ac:dyDescent="0.25">
      <c r="S15" s="172"/>
      <c r="T15" s="172"/>
      <c r="U15" s="172"/>
      <c r="V15" s="172"/>
      <c r="W15" s="172"/>
      <c r="X15" s="112"/>
      <c r="AB15" s="10"/>
    </row>
    <row r="16" spans="1:40" x14ac:dyDescent="0.25">
      <c r="B16" s="9" t="s">
        <v>334</v>
      </c>
      <c r="C16" s="9"/>
      <c r="D16" s="8">
        <v>507</v>
      </c>
      <c r="E16" s="2"/>
      <c r="F16" s="2"/>
      <c r="G16" s="2"/>
      <c r="H16" s="2"/>
      <c r="I16" s="2"/>
      <c r="S16" s="172"/>
      <c r="T16" s="172"/>
      <c r="U16" s="172"/>
      <c r="V16" s="172"/>
      <c r="W16" s="172"/>
      <c r="X16" s="112"/>
      <c r="AB16" s="10"/>
    </row>
    <row r="17" spans="1:28" ht="57" customHeight="1" x14ac:dyDescent="0.25">
      <c r="B17" s="7" t="s">
        <v>27</v>
      </c>
      <c r="C17" s="7"/>
      <c r="D17" s="42">
        <f>+Hoja3!C8</f>
        <v>2.9999999999999997E-4</v>
      </c>
      <c r="E17" s="3"/>
      <c r="F17" s="3"/>
      <c r="G17" s="3"/>
      <c r="H17" s="3"/>
      <c r="I17" s="3"/>
      <c r="S17" s="172"/>
      <c r="T17" s="172"/>
      <c r="U17" s="172"/>
      <c r="V17" s="172"/>
      <c r="W17" s="172"/>
      <c r="X17" s="112"/>
      <c r="AB17" s="10"/>
    </row>
    <row r="18" spans="1:28" ht="36.75" customHeight="1" x14ac:dyDescent="0.25">
      <c r="B18" s="7" t="s">
        <v>28</v>
      </c>
      <c r="C18" s="7"/>
      <c r="D18" s="18"/>
      <c r="E18" s="3"/>
      <c r="F18" s="3"/>
      <c r="G18" s="3"/>
      <c r="H18" s="3"/>
      <c r="I18" s="3"/>
      <c r="S18" s="172"/>
      <c r="T18" s="172"/>
      <c r="U18" s="172"/>
      <c r="V18" s="172"/>
      <c r="W18" s="172"/>
      <c r="X18" s="112"/>
      <c r="AB18" s="10"/>
    </row>
    <row r="19" spans="1:28" x14ac:dyDescent="0.25">
      <c r="E19" s="3"/>
      <c r="F19" s="3"/>
      <c r="G19" s="3"/>
      <c r="H19" s="3"/>
      <c r="I19" s="3"/>
      <c r="S19" s="112"/>
      <c r="T19" s="112"/>
      <c r="U19" s="112"/>
      <c r="V19" s="112"/>
      <c r="W19" s="112"/>
      <c r="X19" s="112"/>
      <c r="Z19" s="10"/>
    </row>
    <row r="20" spans="1:28" ht="15.75" thickBot="1" x14ac:dyDescent="0.3">
      <c r="A20" s="17"/>
      <c r="B20" s="55" t="s">
        <v>16</v>
      </c>
      <c r="C20" s="228" t="s">
        <v>22</v>
      </c>
      <c r="D20" s="228"/>
      <c r="I20" s="22"/>
      <c r="S20" s="112"/>
      <c r="T20" s="112"/>
      <c r="U20" s="112"/>
      <c r="V20" s="112"/>
      <c r="W20" s="112"/>
      <c r="X20" s="112"/>
      <c r="Z20" s="10"/>
    </row>
    <row r="21" spans="1:28" ht="28.5" customHeight="1" thickTop="1" x14ac:dyDescent="0.25">
      <c r="A21" s="8"/>
      <c r="B21" s="54">
        <v>2024</v>
      </c>
      <c r="C21" s="222">
        <f>+D16</f>
        <v>507</v>
      </c>
      <c r="D21" s="222"/>
      <c r="E21" s="1"/>
      <c r="F21" s="1"/>
      <c r="G21" s="1"/>
      <c r="H21" s="1"/>
      <c r="Z21" s="10"/>
    </row>
    <row r="22" spans="1:28" ht="15.75" customHeight="1" x14ac:dyDescent="0.25">
      <c r="A22" s="8"/>
      <c r="B22" s="52">
        <f>+B21+1</f>
        <v>2025</v>
      </c>
      <c r="C22" s="224">
        <f>ROUND(($C$21*(1+$D$17)^1),0)</f>
        <v>507</v>
      </c>
      <c r="D22" s="224"/>
      <c r="E22" s="5"/>
      <c r="F22" s="5"/>
      <c r="G22" s="5"/>
      <c r="H22" s="5"/>
      <c r="L22">
        <f>21/12</f>
        <v>1.75</v>
      </c>
      <c r="Z22" s="10"/>
    </row>
    <row r="23" spans="1:28" x14ac:dyDescent="0.25">
      <c r="A23" s="8"/>
      <c r="B23" s="52">
        <f t="shared" ref="B23:B33" si="0">+B22+1</f>
        <v>2026</v>
      </c>
      <c r="C23" s="224">
        <f>ROUND(($C$21*(1+$D$17)^2),0)</f>
        <v>507</v>
      </c>
      <c r="D23" s="224"/>
      <c r="E23" s="1"/>
      <c r="F23" s="1"/>
      <c r="G23" s="1"/>
      <c r="H23" s="1"/>
      <c r="Z23" s="10"/>
    </row>
    <row r="24" spans="1:28" x14ac:dyDescent="0.25">
      <c r="A24" s="8"/>
      <c r="B24" s="52">
        <f t="shared" si="0"/>
        <v>2027</v>
      </c>
      <c r="C24" s="224">
        <f>ROUND(($C$21*(1+$D$17)^3),0)</f>
        <v>507</v>
      </c>
      <c r="D24" s="224"/>
      <c r="E24" s="5"/>
      <c r="F24" s="5"/>
      <c r="G24" s="5"/>
      <c r="H24" s="5"/>
      <c r="Z24" s="10"/>
    </row>
    <row r="25" spans="1:28" x14ac:dyDescent="0.25">
      <c r="A25" s="8"/>
      <c r="B25" s="52">
        <f t="shared" si="0"/>
        <v>2028</v>
      </c>
      <c r="C25" s="224">
        <f>ROUND(($C$21*(1+$D$17)^4),0)</f>
        <v>508</v>
      </c>
      <c r="D25" s="224"/>
      <c r="E25" s="1"/>
      <c r="F25" s="1"/>
      <c r="G25" s="1"/>
      <c r="H25" s="1"/>
      <c r="Z25" s="10"/>
    </row>
    <row r="26" spans="1:28" x14ac:dyDescent="0.25">
      <c r="A26" s="8"/>
      <c r="B26" s="52">
        <f t="shared" si="0"/>
        <v>2029</v>
      </c>
      <c r="C26" s="224">
        <f>ROUND(($C$21*(1+$D$17)^5),0)</f>
        <v>508</v>
      </c>
      <c r="D26" s="224"/>
      <c r="E26" s="5"/>
      <c r="F26" s="5"/>
      <c r="G26" s="5"/>
      <c r="H26" s="5"/>
      <c r="Z26" s="10"/>
    </row>
    <row r="27" spans="1:28" ht="30" customHeight="1" x14ac:dyDescent="0.25">
      <c r="A27" s="8"/>
      <c r="B27" s="52">
        <f t="shared" si="0"/>
        <v>2030</v>
      </c>
      <c r="C27" s="224">
        <f>ROUND(($C$21*(1+$D$17)^6),0)</f>
        <v>508</v>
      </c>
      <c r="D27" s="224"/>
      <c r="E27" s="1"/>
      <c r="F27" s="1"/>
      <c r="G27" s="1"/>
      <c r="H27" s="1"/>
      <c r="Y27" s="10"/>
    </row>
    <row r="28" spans="1:28" ht="21" customHeight="1" x14ac:dyDescent="0.25">
      <c r="A28" s="8"/>
      <c r="B28" s="52">
        <f t="shared" si="0"/>
        <v>2031</v>
      </c>
      <c r="C28" s="224">
        <f>ROUND(($C$21*(1+$D$17)^7),0)</f>
        <v>508</v>
      </c>
      <c r="D28" s="224"/>
      <c r="E28" s="5"/>
      <c r="F28" s="5"/>
      <c r="G28" s="5"/>
      <c r="H28" s="5"/>
    </row>
    <row r="29" spans="1:28" ht="20.25" customHeight="1" x14ac:dyDescent="0.25">
      <c r="A29" s="8"/>
      <c r="B29" s="52">
        <f t="shared" si="0"/>
        <v>2032</v>
      </c>
      <c r="C29" s="224">
        <f>ROUND(($C$21*(1+$D$17)^8),0)</f>
        <v>508</v>
      </c>
      <c r="D29" s="224"/>
      <c r="E29" s="1"/>
      <c r="F29" s="1"/>
      <c r="G29" s="1"/>
      <c r="H29" s="1"/>
    </row>
    <row r="30" spans="1:28" ht="21" customHeight="1" x14ac:dyDescent="0.25">
      <c r="A30" s="8"/>
      <c r="B30" s="52">
        <f t="shared" si="0"/>
        <v>2033</v>
      </c>
      <c r="C30" s="224">
        <f>ROUND(($C$21*(1+$D$17)^9),0)</f>
        <v>508</v>
      </c>
      <c r="D30" s="224"/>
      <c r="E30" s="5"/>
      <c r="F30" s="5"/>
      <c r="G30" s="5"/>
      <c r="H30" s="5"/>
    </row>
    <row r="31" spans="1:28" ht="21" customHeight="1" x14ac:dyDescent="0.25">
      <c r="A31" s="8"/>
      <c r="B31" s="52">
        <f t="shared" si="0"/>
        <v>2034</v>
      </c>
      <c r="C31" s="224">
        <f>ROUND(($C$21*(1+$D$17)^10),0)</f>
        <v>509</v>
      </c>
      <c r="D31" s="224"/>
      <c r="E31" s="5"/>
      <c r="F31" s="5"/>
      <c r="G31" s="5"/>
      <c r="H31" s="5"/>
    </row>
    <row r="32" spans="1:28" ht="20.25" customHeight="1" x14ac:dyDescent="0.25">
      <c r="A32" s="8"/>
      <c r="B32" s="52">
        <f t="shared" si="0"/>
        <v>2035</v>
      </c>
      <c r="C32" s="224">
        <f>ROUND(($C$21*(1+$D$17)^11),0)</f>
        <v>509</v>
      </c>
      <c r="D32" s="224"/>
      <c r="E32" s="5"/>
      <c r="F32" s="5"/>
      <c r="G32" s="5"/>
      <c r="H32" s="5"/>
    </row>
    <row r="33" spans="1:38" ht="21" customHeight="1" x14ac:dyDescent="0.25">
      <c r="A33" s="8"/>
      <c r="B33" s="52">
        <f t="shared" si="0"/>
        <v>2036</v>
      </c>
      <c r="C33" s="224">
        <f>ROUND(($C$21*(1+$D$17)^12),0)</f>
        <v>509</v>
      </c>
      <c r="D33" s="224"/>
      <c r="E33" s="5"/>
      <c r="F33" s="5"/>
      <c r="G33" s="5"/>
      <c r="H33" s="5"/>
      <c r="J33" s="10"/>
    </row>
    <row r="34" spans="1:38" ht="21" customHeight="1" x14ac:dyDescent="0.25">
      <c r="B34" s="56" t="s">
        <v>17</v>
      </c>
      <c r="C34" s="221">
        <f>SUM(C22:C33)</f>
        <v>6096</v>
      </c>
      <c r="D34" s="221"/>
      <c r="E34" s="6"/>
      <c r="F34" s="6"/>
      <c r="G34" s="6"/>
      <c r="H34" s="6"/>
    </row>
    <row r="35" spans="1:38" ht="21" customHeight="1" x14ac:dyDescent="0.25">
      <c r="F35" s="6"/>
      <c r="G35" s="6"/>
      <c r="H35" s="6"/>
    </row>
    <row r="36" spans="1:38" ht="21" customHeight="1" x14ac:dyDescent="0.25"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</row>
    <row r="37" spans="1:38" ht="21" customHeight="1" x14ac:dyDescent="0.25">
      <c r="E37" s="173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</row>
    <row r="38" spans="1:38" ht="21" customHeight="1" x14ac:dyDescent="0.25">
      <c r="E38" s="112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</row>
    <row r="39" spans="1:38" ht="21" customHeight="1" x14ac:dyDescent="0.25"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</row>
    <row r="40" spans="1:38" ht="21" customHeight="1" x14ac:dyDescent="0.25"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</row>
    <row r="41" spans="1:38" ht="18" customHeight="1" x14ac:dyDescent="0.25"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</row>
    <row r="42" spans="1:38" x14ac:dyDescent="0.25"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</row>
    <row r="43" spans="1:38" x14ac:dyDescent="0.25"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</row>
    <row r="44" spans="1:38" x14ac:dyDescent="0.25"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</row>
    <row r="45" spans="1:38" x14ac:dyDescent="0.25"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</row>
    <row r="46" spans="1:38" x14ac:dyDescent="0.25"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</row>
  </sheetData>
  <mergeCells count="28">
    <mergeCell ref="B2:B3"/>
    <mergeCell ref="C2:AJ2"/>
    <mergeCell ref="C27:D27"/>
    <mergeCell ref="C28:D28"/>
    <mergeCell ref="C29:D29"/>
    <mergeCell ref="C20:D20"/>
    <mergeCell ref="B8:N8"/>
    <mergeCell ref="M9:O9"/>
    <mergeCell ref="K9:L10"/>
    <mergeCell ref="I9:J10"/>
    <mergeCell ref="C9:D10"/>
    <mergeCell ref="E9:H9"/>
    <mergeCell ref="C34:D34"/>
    <mergeCell ref="C21:D21"/>
    <mergeCell ref="S9:W9"/>
    <mergeCell ref="C32:D32"/>
    <mergeCell ref="C33:D33"/>
    <mergeCell ref="C31:D31"/>
    <mergeCell ref="C11:D11"/>
    <mergeCell ref="I11:J11"/>
    <mergeCell ref="K11:L11"/>
    <mergeCell ref="C30:D30"/>
    <mergeCell ref="C22:D22"/>
    <mergeCell ref="C23:D23"/>
    <mergeCell ref="C24:D24"/>
    <mergeCell ref="C25:D25"/>
    <mergeCell ref="C26:D26"/>
    <mergeCell ref="B14:D1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23"/>
  <sheetViews>
    <sheetView workbookViewId="0">
      <selection activeCell="B2" sqref="B2:C8"/>
    </sheetView>
  </sheetViews>
  <sheetFormatPr baseColWidth="10" defaultRowHeight="15" x14ac:dyDescent="0.25"/>
  <cols>
    <col min="2" max="2" width="21.5703125" customWidth="1"/>
    <col min="3" max="3" width="20.85546875" customWidth="1"/>
    <col min="6" max="6" width="13.7109375" customWidth="1"/>
    <col min="12" max="12" width="12.85546875" customWidth="1"/>
    <col min="13" max="13" width="11.28515625" customWidth="1"/>
    <col min="14" max="14" width="10.28515625" customWidth="1"/>
    <col min="15" max="15" width="10.140625" customWidth="1"/>
    <col min="16" max="17" width="9.85546875" customWidth="1"/>
    <col min="18" max="18" width="10.42578125" customWidth="1"/>
    <col min="19" max="19" width="10" customWidth="1"/>
    <col min="20" max="20" width="9.85546875" customWidth="1"/>
  </cols>
  <sheetData>
    <row r="2" spans="2:13" x14ac:dyDescent="0.25">
      <c r="B2" s="213" t="s">
        <v>138</v>
      </c>
      <c r="C2" s="213"/>
      <c r="F2" s="245"/>
      <c r="G2" s="245"/>
      <c r="H2" s="245"/>
      <c r="I2" s="245"/>
      <c r="J2" s="245"/>
      <c r="K2" s="245"/>
      <c r="L2" s="245"/>
      <c r="M2" s="245"/>
    </row>
    <row r="3" spans="2:13" ht="22.5" customHeight="1" x14ac:dyDescent="0.25">
      <c r="B3" s="244" t="s">
        <v>335</v>
      </c>
      <c r="C3" s="244"/>
      <c r="F3" s="245"/>
      <c r="G3" s="245"/>
      <c r="H3" s="245"/>
      <c r="I3" s="245"/>
      <c r="J3" s="245"/>
      <c r="K3" s="245"/>
      <c r="L3" s="245"/>
      <c r="M3" s="245"/>
    </row>
    <row r="4" spans="2:13" x14ac:dyDescent="0.25">
      <c r="B4" s="102" t="s">
        <v>239</v>
      </c>
      <c r="C4" s="102" t="s">
        <v>17</v>
      </c>
      <c r="F4" s="2"/>
      <c r="G4" s="176"/>
      <c r="H4" s="2"/>
      <c r="I4" s="2"/>
      <c r="J4" s="2"/>
      <c r="K4" s="2"/>
      <c r="L4" s="2"/>
      <c r="M4" s="177"/>
    </row>
    <row r="5" spans="2:13" x14ac:dyDescent="0.25">
      <c r="B5" s="102">
        <v>2017</v>
      </c>
      <c r="C5" s="102">
        <v>741</v>
      </c>
      <c r="F5" s="2"/>
      <c r="G5" s="2"/>
      <c r="H5" s="2"/>
      <c r="I5" s="2"/>
      <c r="J5" s="2"/>
      <c r="K5" s="2"/>
      <c r="L5" s="2"/>
      <c r="M5" s="177"/>
    </row>
    <row r="6" spans="2:13" x14ac:dyDescent="0.25">
      <c r="B6" s="102">
        <v>2007</v>
      </c>
      <c r="C6" s="102">
        <v>739</v>
      </c>
      <c r="F6" s="2"/>
      <c r="G6" s="2"/>
      <c r="H6" s="2"/>
      <c r="I6" s="2"/>
      <c r="J6" s="2"/>
      <c r="K6" s="2"/>
      <c r="L6" s="2"/>
      <c r="M6" s="177"/>
    </row>
    <row r="7" spans="2:13" ht="21" customHeight="1" x14ac:dyDescent="0.25">
      <c r="B7" s="213" t="s">
        <v>139</v>
      </c>
      <c r="C7" s="104">
        <f>+(((C6/C5)^(1/(B6-B5)))-1)*100</f>
        <v>2.7030696113294894E-2</v>
      </c>
    </row>
    <row r="8" spans="2:13" x14ac:dyDescent="0.25">
      <c r="B8" s="213"/>
      <c r="C8" s="141">
        <f>ROUND((C7/100),4)</f>
        <v>2.9999999999999997E-4</v>
      </c>
      <c r="F8" s="246"/>
      <c r="G8" s="2"/>
    </row>
    <row r="9" spans="2:13" x14ac:dyDescent="0.25">
      <c r="F9" s="246"/>
      <c r="G9" s="3"/>
    </row>
    <row r="11" spans="2:13" ht="30" customHeight="1" x14ac:dyDescent="0.25">
      <c r="B11" s="213" t="s">
        <v>336</v>
      </c>
      <c r="C11" s="213"/>
    </row>
    <row r="12" spans="2:13" x14ac:dyDescent="0.25">
      <c r="B12" s="102" t="s">
        <v>137</v>
      </c>
      <c r="C12" s="102" t="s">
        <v>22</v>
      </c>
    </row>
    <row r="13" spans="2:13" x14ac:dyDescent="0.25">
      <c r="B13" s="102">
        <v>2017</v>
      </c>
      <c r="C13" s="102">
        <v>62278</v>
      </c>
    </row>
    <row r="14" spans="2:13" x14ac:dyDescent="0.25">
      <c r="B14" s="102">
        <v>2007</v>
      </c>
      <c r="C14" s="102">
        <v>62598</v>
      </c>
    </row>
    <row r="15" spans="2:13" ht="30" customHeight="1" x14ac:dyDescent="0.25">
      <c r="B15" s="213" t="s">
        <v>140</v>
      </c>
      <c r="C15" s="104">
        <f>+(((C14/C13)^(1/(B14-B13)))-1)*100</f>
        <v>-5.1237821958616259E-2</v>
      </c>
    </row>
    <row r="16" spans="2:13" x14ac:dyDescent="0.25">
      <c r="B16" s="213"/>
      <c r="C16" s="141">
        <f>ROUND((C15/100),4)</f>
        <v>-5.0000000000000001E-4</v>
      </c>
    </row>
    <row r="17" spans="2:3" x14ac:dyDescent="0.25">
      <c r="B17" s="34"/>
      <c r="C17" s="3"/>
    </row>
    <row r="18" spans="2:3" ht="46.5" customHeight="1" x14ac:dyDescent="0.25">
      <c r="B18" s="213" t="s">
        <v>240</v>
      </c>
      <c r="C18" s="213"/>
    </row>
    <row r="19" spans="2:3" x14ac:dyDescent="0.25">
      <c r="B19" s="102" t="s">
        <v>137</v>
      </c>
      <c r="C19" s="102" t="s">
        <v>22</v>
      </c>
    </row>
    <row r="20" spans="2:3" x14ac:dyDescent="0.25">
      <c r="B20" s="102">
        <v>2017</v>
      </c>
      <c r="C20" s="102">
        <v>1083519</v>
      </c>
    </row>
    <row r="21" spans="2:3" x14ac:dyDescent="0.25">
      <c r="B21" s="102">
        <v>2007</v>
      </c>
      <c r="C21" s="102">
        <v>1063459</v>
      </c>
    </row>
    <row r="22" spans="2:3" ht="15" customHeight="1" x14ac:dyDescent="0.25">
      <c r="B22" s="213" t="s">
        <v>140</v>
      </c>
      <c r="C22" s="104">
        <f>+(((C21/C20)^(1/(B21-B20)))-1)*100</f>
        <v>0.18704746233546565</v>
      </c>
    </row>
    <row r="23" spans="2:3" x14ac:dyDescent="0.25">
      <c r="B23" s="213"/>
      <c r="C23" s="141">
        <f>ROUND((C22/100),4)</f>
        <v>1.9E-3</v>
      </c>
    </row>
  </sheetData>
  <mergeCells count="10">
    <mergeCell ref="B11:C11"/>
    <mergeCell ref="B15:B16"/>
    <mergeCell ref="B18:C18"/>
    <mergeCell ref="B22:B23"/>
    <mergeCell ref="B7:B8"/>
    <mergeCell ref="B3:C3"/>
    <mergeCell ref="B2:C2"/>
    <mergeCell ref="F3:M3"/>
    <mergeCell ref="F2:M2"/>
    <mergeCell ref="F8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08"/>
  <sheetViews>
    <sheetView topLeftCell="A168" zoomScale="68" zoomScaleNormal="68" workbookViewId="0">
      <selection activeCell="A203" sqref="A203:XFD213"/>
    </sheetView>
  </sheetViews>
  <sheetFormatPr baseColWidth="10" defaultRowHeight="15" x14ac:dyDescent="0.25"/>
  <cols>
    <col min="2" max="2" width="52.28515625" customWidth="1"/>
    <col min="3" max="4" width="9.7109375" customWidth="1"/>
    <col min="5" max="5" width="9.85546875" customWidth="1"/>
    <col min="6" max="8" width="9.7109375" customWidth="1"/>
    <col min="9" max="11" width="9.85546875" customWidth="1"/>
    <col min="12" max="15" width="9.7109375" customWidth="1"/>
  </cols>
  <sheetData>
    <row r="1" spans="2:4" x14ac:dyDescent="0.25">
      <c r="B1" s="247" t="s">
        <v>238</v>
      </c>
      <c r="C1" s="248"/>
      <c r="D1" s="248"/>
    </row>
    <row r="2" spans="2:4" ht="25.5" x14ac:dyDescent="0.25">
      <c r="B2" s="140" t="s">
        <v>351</v>
      </c>
      <c r="C2" s="196" t="s">
        <v>369</v>
      </c>
      <c r="D2" s="196" t="s">
        <v>370</v>
      </c>
    </row>
    <row r="3" spans="2:4" ht="25.5" x14ac:dyDescent="0.25">
      <c r="B3" s="140" t="s">
        <v>354</v>
      </c>
      <c r="C3" s="196" t="s">
        <v>369</v>
      </c>
      <c r="D3" s="196" t="s">
        <v>370</v>
      </c>
    </row>
    <row r="4" spans="2:4" ht="25.5" x14ac:dyDescent="0.25">
      <c r="B4" s="140" t="s">
        <v>355</v>
      </c>
      <c r="C4" s="196" t="s">
        <v>371</v>
      </c>
      <c r="D4" s="196" t="s">
        <v>372</v>
      </c>
    </row>
    <row r="5" spans="2:4" ht="25.5" x14ac:dyDescent="0.25">
      <c r="B5" s="140" t="s">
        <v>356</v>
      </c>
      <c r="C5" s="196" t="s">
        <v>376</v>
      </c>
      <c r="D5" s="196" t="s">
        <v>374</v>
      </c>
    </row>
    <row r="6" spans="2:4" ht="22.5" customHeight="1" x14ac:dyDescent="0.25">
      <c r="B6" s="140" t="s">
        <v>378</v>
      </c>
      <c r="C6" s="196" t="s">
        <v>375</v>
      </c>
      <c r="D6" s="196" t="s">
        <v>377</v>
      </c>
    </row>
    <row r="7" spans="2:4" ht="26.25" customHeight="1" x14ac:dyDescent="0.25">
      <c r="B7" s="140" t="s">
        <v>382</v>
      </c>
      <c r="C7" s="196" t="s">
        <v>380</v>
      </c>
      <c r="D7" s="196" t="s">
        <v>381</v>
      </c>
    </row>
    <row r="8" spans="2:4" ht="25.5" x14ac:dyDescent="0.25">
      <c r="B8" s="140" t="s">
        <v>357</v>
      </c>
      <c r="C8" s="196" t="s">
        <v>380</v>
      </c>
      <c r="D8" s="196" t="s">
        <v>381</v>
      </c>
    </row>
    <row r="9" spans="2:4" ht="25.5" x14ac:dyDescent="0.25">
      <c r="B9" s="140" t="s">
        <v>352</v>
      </c>
      <c r="C9" s="196" t="s">
        <v>384</v>
      </c>
      <c r="D9" s="196" t="s">
        <v>385</v>
      </c>
    </row>
    <row r="10" spans="2:4" ht="25.5" x14ac:dyDescent="0.25">
      <c r="B10" s="140" t="s">
        <v>353</v>
      </c>
      <c r="C10" s="196" t="s">
        <v>386</v>
      </c>
      <c r="D10" s="196" t="s">
        <v>381</v>
      </c>
    </row>
    <row r="11" spans="2:4" ht="25.5" x14ac:dyDescent="0.25">
      <c r="B11" s="140" t="s">
        <v>358</v>
      </c>
      <c r="C11" s="196" t="s">
        <v>386</v>
      </c>
      <c r="D11" s="196" t="s">
        <v>381</v>
      </c>
    </row>
    <row r="12" spans="2:4" s="2" customFormat="1" ht="25.5" x14ac:dyDescent="0.25">
      <c r="B12" s="140" t="s">
        <v>359</v>
      </c>
      <c r="C12" s="196" t="s">
        <v>388</v>
      </c>
      <c r="D12" s="196" t="s">
        <v>179</v>
      </c>
    </row>
    <row r="13" spans="2:4" ht="25.5" x14ac:dyDescent="0.25">
      <c r="B13" s="140" t="s">
        <v>360</v>
      </c>
      <c r="C13" s="196" t="s">
        <v>389</v>
      </c>
      <c r="D13" s="196" t="s">
        <v>390</v>
      </c>
    </row>
    <row r="14" spans="2:4" ht="25.5" x14ac:dyDescent="0.25">
      <c r="B14" s="140" t="s">
        <v>361</v>
      </c>
      <c r="C14" s="196" t="s">
        <v>386</v>
      </c>
      <c r="D14" s="196" t="s">
        <v>381</v>
      </c>
    </row>
    <row r="15" spans="2:4" ht="25.5" x14ac:dyDescent="0.25">
      <c r="B15" s="140" t="s">
        <v>362</v>
      </c>
      <c r="C15" s="196" t="s">
        <v>388</v>
      </c>
      <c r="D15" s="196" t="s">
        <v>179</v>
      </c>
    </row>
    <row r="16" spans="2:4" ht="25.5" x14ac:dyDescent="0.25">
      <c r="B16" s="140" t="s">
        <v>394</v>
      </c>
      <c r="C16" s="196" t="s">
        <v>395</v>
      </c>
      <c r="D16" s="196" t="s">
        <v>396</v>
      </c>
    </row>
    <row r="17" spans="2:25" ht="25.5" x14ac:dyDescent="0.25">
      <c r="B17" s="140" t="s">
        <v>363</v>
      </c>
      <c r="C17" s="196" t="s">
        <v>398</v>
      </c>
      <c r="D17" s="196" t="s">
        <v>399</v>
      </c>
    </row>
    <row r="18" spans="2:25" ht="25.5" x14ac:dyDescent="0.25">
      <c r="B18" s="140" t="s">
        <v>400</v>
      </c>
      <c r="C18" s="196" t="s">
        <v>369</v>
      </c>
      <c r="D18" s="196" t="s">
        <v>370</v>
      </c>
    </row>
    <row r="19" spans="2:25" ht="25.5" x14ac:dyDescent="0.25">
      <c r="B19" s="140" t="s">
        <v>401</v>
      </c>
      <c r="C19" s="196" t="s">
        <v>369</v>
      </c>
      <c r="D19" s="196" t="s">
        <v>370</v>
      </c>
    </row>
    <row r="20" spans="2:25" ht="25.5" x14ac:dyDescent="0.25">
      <c r="B20" s="140" t="s">
        <v>364</v>
      </c>
      <c r="C20" s="196" t="s">
        <v>369</v>
      </c>
      <c r="D20" s="196" t="s">
        <v>370</v>
      </c>
    </row>
    <row r="21" spans="2:25" ht="25.5" x14ac:dyDescent="0.25">
      <c r="B21" s="140" t="s">
        <v>365</v>
      </c>
      <c r="C21" s="196" t="s">
        <v>369</v>
      </c>
      <c r="D21" s="196" t="s">
        <v>370</v>
      </c>
    </row>
    <row r="22" spans="2:25" ht="25.5" x14ac:dyDescent="0.25">
      <c r="B22" s="140" t="s">
        <v>366</v>
      </c>
      <c r="C22" s="196" t="s">
        <v>369</v>
      </c>
      <c r="D22" s="196" t="s">
        <v>370</v>
      </c>
    </row>
    <row r="23" spans="2:25" ht="25.5" x14ac:dyDescent="0.25">
      <c r="B23" s="140" t="s">
        <v>367</v>
      </c>
      <c r="C23" s="196" t="s">
        <v>369</v>
      </c>
      <c r="D23" s="196" t="s">
        <v>370</v>
      </c>
    </row>
    <row r="24" spans="2:25" ht="25.5" x14ac:dyDescent="0.25">
      <c r="B24" s="140" t="s">
        <v>368</v>
      </c>
      <c r="C24" s="196" t="s">
        <v>369</v>
      </c>
      <c r="D24" s="196" t="s">
        <v>370</v>
      </c>
    </row>
    <row r="28" spans="2:25" x14ac:dyDescent="0.25">
      <c r="B28" s="252" t="s">
        <v>38</v>
      </c>
      <c r="C28" s="249" t="s">
        <v>143</v>
      </c>
      <c r="D28" s="250"/>
      <c r="E28" s="251"/>
      <c r="F28" s="255" t="s">
        <v>39</v>
      </c>
      <c r="G28" s="255"/>
      <c r="H28" s="255"/>
      <c r="I28" s="255"/>
      <c r="J28" s="255"/>
      <c r="K28" s="255"/>
      <c r="L28" s="255"/>
      <c r="M28" s="255"/>
      <c r="N28" s="255"/>
      <c r="O28" s="255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2:25" ht="14.25" customHeight="1" x14ac:dyDescent="0.25">
      <c r="B29" s="253"/>
      <c r="C29" s="239">
        <v>0</v>
      </c>
      <c r="D29" s="239"/>
      <c r="E29" s="239"/>
      <c r="F29" s="24">
        <v>1</v>
      </c>
      <c r="G29" s="25">
        <v>2</v>
      </c>
      <c r="H29" s="25">
        <v>3</v>
      </c>
      <c r="I29" s="25">
        <v>4</v>
      </c>
      <c r="J29" s="25">
        <v>5</v>
      </c>
      <c r="K29" s="25">
        <v>6</v>
      </c>
      <c r="L29" s="25">
        <v>7</v>
      </c>
      <c r="M29" s="25">
        <v>8</v>
      </c>
      <c r="N29" s="25">
        <v>9</v>
      </c>
      <c r="O29" s="24">
        <v>10</v>
      </c>
    </row>
    <row r="30" spans="2:25" ht="12" customHeight="1" x14ac:dyDescent="0.25">
      <c r="B30" s="254"/>
      <c r="C30" s="95">
        <v>2024</v>
      </c>
      <c r="D30" s="95">
        <v>2025</v>
      </c>
      <c r="E30" s="95">
        <v>2026</v>
      </c>
      <c r="F30" s="95">
        <v>2027</v>
      </c>
      <c r="G30" s="95">
        <v>2028</v>
      </c>
      <c r="H30" s="95">
        <v>2029</v>
      </c>
      <c r="I30" s="95">
        <v>2030</v>
      </c>
      <c r="J30" s="95">
        <v>2031</v>
      </c>
      <c r="K30" s="95">
        <v>2032</v>
      </c>
      <c r="L30" s="95">
        <v>2033</v>
      </c>
      <c r="M30" s="95">
        <v>2034</v>
      </c>
      <c r="N30" s="95">
        <v>2035</v>
      </c>
      <c r="O30" s="95">
        <v>2036</v>
      </c>
    </row>
    <row r="31" spans="2:25" ht="20.25" customHeight="1" x14ac:dyDescent="0.25">
      <c r="B31" s="28" t="s">
        <v>347</v>
      </c>
      <c r="C31" s="28">
        <f t="shared" ref="C31:O31" si="0">+C32</f>
        <v>507</v>
      </c>
      <c r="D31" s="28">
        <f t="shared" si="0"/>
        <v>507</v>
      </c>
      <c r="E31" s="28">
        <f t="shared" si="0"/>
        <v>507</v>
      </c>
      <c r="F31" s="194">
        <f t="shared" si="0"/>
        <v>507</v>
      </c>
      <c r="G31" s="194">
        <f t="shared" si="0"/>
        <v>508</v>
      </c>
      <c r="H31" s="194">
        <f t="shared" si="0"/>
        <v>508</v>
      </c>
      <c r="I31" s="194">
        <f t="shared" si="0"/>
        <v>508</v>
      </c>
      <c r="J31" s="194">
        <f t="shared" si="0"/>
        <v>508</v>
      </c>
      <c r="K31" s="194">
        <f t="shared" si="0"/>
        <v>508</v>
      </c>
      <c r="L31" s="194">
        <f t="shared" si="0"/>
        <v>508</v>
      </c>
      <c r="M31" s="194">
        <f t="shared" si="0"/>
        <v>509</v>
      </c>
      <c r="N31" s="194">
        <f t="shared" si="0"/>
        <v>509</v>
      </c>
      <c r="O31" s="194">
        <f t="shared" si="0"/>
        <v>509</v>
      </c>
    </row>
    <row r="32" spans="2:25" x14ac:dyDescent="0.25">
      <c r="B32" s="182" t="s">
        <v>346</v>
      </c>
      <c r="C32" s="183">
        <f>+Hoja1!AJ4</f>
        <v>507</v>
      </c>
      <c r="D32" s="105">
        <f t="shared" ref="D32:O32" si="1">ROUND(($C$32*(1+$A$73)^(D30-$C$30)),0)</f>
        <v>507</v>
      </c>
      <c r="E32" s="105">
        <f t="shared" si="1"/>
        <v>507</v>
      </c>
      <c r="F32" s="108">
        <f t="shared" si="1"/>
        <v>507</v>
      </c>
      <c r="G32" s="188">
        <f t="shared" si="1"/>
        <v>508</v>
      </c>
      <c r="H32" s="188">
        <f t="shared" si="1"/>
        <v>508</v>
      </c>
      <c r="I32" s="188">
        <f t="shared" si="1"/>
        <v>508</v>
      </c>
      <c r="J32" s="188">
        <f t="shared" si="1"/>
        <v>508</v>
      </c>
      <c r="K32" s="188">
        <f t="shared" si="1"/>
        <v>508</v>
      </c>
      <c r="L32" s="188">
        <f t="shared" si="1"/>
        <v>508</v>
      </c>
      <c r="M32" s="188">
        <f t="shared" si="1"/>
        <v>509</v>
      </c>
      <c r="N32" s="188">
        <f t="shared" si="1"/>
        <v>509</v>
      </c>
      <c r="O32" s="188">
        <f t="shared" si="1"/>
        <v>509</v>
      </c>
    </row>
    <row r="34" spans="2:25" x14ac:dyDescent="0.25">
      <c r="B34" s="252" t="s">
        <v>38</v>
      </c>
      <c r="C34" s="249" t="s">
        <v>143</v>
      </c>
      <c r="D34" s="250"/>
      <c r="E34" s="251"/>
      <c r="F34" s="255" t="s">
        <v>39</v>
      </c>
      <c r="G34" s="255"/>
      <c r="H34" s="255"/>
      <c r="I34" s="255"/>
      <c r="J34" s="255"/>
      <c r="K34" s="255"/>
      <c r="L34" s="255"/>
      <c r="M34" s="255"/>
      <c r="N34" s="255"/>
      <c r="O34" s="255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2:25" ht="14.25" customHeight="1" x14ac:dyDescent="0.25">
      <c r="B35" s="253"/>
      <c r="C35" s="239">
        <v>0</v>
      </c>
      <c r="D35" s="239"/>
      <c r="E35" s="239"/>
      <c r="F35" s="24">
        <v>1</v>
      </c>
      <c r="G35" s="25">
        <v>2</v>
      </c>
      <c r="H35" s="25">
        <v>3</v>
      </c>
      <c r="I35" s="25">
        <v>4</v>
      </c>
      <c r="J35" s="25">
        <v>5</v>
      </c>
      <c r="K35" s="25">
        <v>6</v>
      </c>
      <c r="L35" s="25">
        <v>7</v>
      </c>
      <c r="M35" s="25">
        <v>8</v>
      </c>
      <c r="N35" s="25">
        <v>9</v>
      </c>
      <c r="O35" s="24">
        <v>10</v>
      </c>
    </row>
    <row r="36" spans="2:25" ht="12" customHeight="1" x14ac:dyDescent="0.25">
      <c r="B36" s="254"/>
      <c r="C36" s="95">
        <v>2024</v>
      </c>
      <c r="D36" s="95">
        <v>2025</v>
      </c>
      <c r="E36" s="95">
        <v>2026</v>
      </c>
      <c r="F36" s="95">
        <v>2027</v>
      </c>
      <c r="G36" s="95">
        <v>2028</v>
      </c>
      <c r="H36" s="95">
        <v>2029</v>
      </c>
      <c r="I36" s="95">
        <v>2030</v>
      </c>
      <c r="J36" s="95">
        <v>2031</v>
      </c>
      <c r="K36" s="95">
        <v>2032</v>
      </c>
      <c r="L36" s="95">
        <v>2033</v>
      </c>
      <c r="M36" s="95">
        <v>2034</v>
      </c>
      <c r="N36" s="95">
        <v>2035</v>
      </c>
      <c r="O36" s="95">
        <v>2036</v>
      </c>
    </row>
    <row r="37" spans="2:25" ht="20.25" customHeight="1" x14ac:dyDescent="0.25">
      <c r="B37" s="28" t="s">
        <v>348</v>
      </c>
      <c r="C37" s="116">
        <f t="shared" ref="C37:O37" si="2">+C38</f>
        <v>507</v>
      </c>
      <c r="D37" s="28">
        <f t="shared" si="2"/>
        <v>507</v>
      </c>
      <c r="E37" s="28">
        <f t="shared" si="2"/>
        <v>507</v>
      </c>
      <c r="F37" s="194">
        <f t="shared" si="2"/>
        <v>507</v>
      </c>
      <c r="G37" s="194">
        <f t="shared" si="2"/>
        <v>508</v>
      </c>
      <c r="H37" s="194">
        <f t="shared" si="2"/>
        <v>508</v>
      </c>
      <c r="I37" s="194">
        <f t="shared" si="2"/>
        <v>508</v>
      </c>
      <c r="J37" s="194">
        <f t="shared" si="2"/>
        <v>508</v>
      </c>
      <c r="K37" s="194">
        <f t="shared" si="2"/>
        <v>508</v>
      </c>
      <c r="L37" s="194">
        <f t="shared" si="2"/>
        <v>508</v>
      </c>
      <c r="M37" s="194">
        <f t="shared" si="2"/>
        <v>509</v>
      </c>
      <c r="N37" s="194">
        <f t="shared" si="2"/>
        <v>509</v>
      </c>
      <c r="O37" s="194">
        <f t="shared" si="2"/>
        <v>509</v>
      </c>
    </row>
    <row r="38" spans="2:25" x14ac:dyDescent="0.25">
      <c r="B38" s="182" t="s">
        <v>346</v>
      </c>
      <c r="C38" s="183">
        <f>+Hoja1!AJ4</f>
        <v>507</v>
      </c>
      <c r="D38" s="105">
        <f t="shared" ref="D38:O38" si="3">ROUND(($C$38*(1+$A$73)^(D36-$C$36)),0)</f>
        <v>507</v>
      </c>
      <c r="E38" s="105">
        <f t="shared" si="3"/>
        <v>507</v>
      </c>
      <c r="F38" s="108">
        <f t="shared" si="3"/>
        <v>507</v>
      </c>
      <c r="G38" s="188">
        <f t="shared" si="3"/>
        <v>508</v>
      </c>
      <c r="H38" s="188">
        <f t="shared" si="3"/>
        <v>508</v>
      </c>
      <c r="I38" s="188">
        <f t="shared" si="3"/>
        <v>508</v>
      </c>
      <c r="J38" s="188">
        <f t="shared" si="3"/>
        <v>508</v>
      </c>
      <c r="K38" s="188">
        <f t="shared" si="3"/>
        <v>508</v>
      </c>
      <c r="L38" s="188">
        <f t="shared" si="3"/>
        <v>508</v>
      </c>
      <c r="M38" s="188">
        <f t="shared" si="3"/>
        <v>509</v>
      </c>
      <c r="N38" s="188">
        <f t="shared" si="3"/>
        <v>509</v>
      </c>
      <c r="O38" s="188">
        <f t="shared" si="3"/>
        <v>509</v>
      </c>
    </row>
    <row r="40" spans="2:25" x14ac:dyDescent="0.25">
      <c r="B40" s="239" t="s">
        <v>24</v>
      </c>
      <c r="C40" s="249" t="s">
        <v>143</v>
      </c>
      <c r="D40" s="250"/>
      <c r="E40" s="251"/>
      <c r="F40" s="255" t="s">
        <v>39</v>
      </c>
      <c r="G40" s="255"/>
      <c r="H40" s="255"/>
      <c r="I40" s="255"/>
      <c r="J40" s="255"/>
      <c r="K40" s="255"/>
      <c r="L40" s="255"/>
      <c r="M40" s="255"/>
      <c r="N40" s="255"/>
      <c r="O40" s="255"/>
    </row>
    <row r="41" spans="2:25" ht="14.25" customHeight="1" x14ac:dyDescent="0.25">
      <c r="B41" s="239"/>
      <c r="C41" s="259">
        <v>0</v>
      </c>
      <c r="D41" s="260"/>
      <c r="E41" s="261"/>
      <c r="F41" s="24">
        <v>1</v>
      </c>
      <c r="G41" s="24">
        <v>2</v>
      </c>
      <c r="H41" s="24">
        <v>3</v>
      </c>
      <c r="I41" s="24">
        <v>4</v>
      </c>
      <c r="J41" s="24">
        <v>5</v>
      </c>
      <c r="K41" s="24">
        <v>6</v>
      </c>
      <c r="L41" s="24">
        <v>7</v>
      </c>
      <c r="M41" s="24">
        <v>8</v>
      </c>
      <c r="N41" s="24">
        <v>9</v>
      </c>
      <c r="O41" s="24">
        <v>10</v>
      </c>
    </row>
    <row r="42" spans="2:25" ht="13.5" customHeight="1" x14ac:dyDescent="0.25">
      <c r="B42" s="239"/>
      <c r="C42" s="127">
        <f>+C36</f>
        <v>2024</v>
      </c>
      <c r="D42" s="127">
        <f t="shared" ref="D42:O42" si="4">+D36</f>
        <v>2025</v>
      </c>
      <c r="E42" s="127">
        <f t="shared" si="4"/>
        <v>2026</v>
      </c>
      <c r="F42" s="127">
        <f t="shared" si="4"/>
        <v>2027</v>
      </c>
      <c r="G42" s="127">
        <f t="shared" si="4"/>
        <v>2028</v>
      </c>
      <c r="H42" s="127">
        <f t="shared" si="4"/>
        <v>2029</v>
      </c>
      <c r="I42" s="127">
        <f t="shared" si="4"/>
        <v>2030</v>
      </c>
      <c r="J42" s="127">
        <f t="shared" si="4"/>
        <v>2031</v>
      </c>
      <c r="K42" s="127">
        <f t="shared" si="4"/>
        <v>2032</v>
      </c>
      <c r="L42" s="127">
        <f t="shared" si="4"/>
        <v>2033</v>
      </c>
      <c r="M42" s="127">
        <f t="shared" si="4"/>
        <v>2034</v>
      </c>
      <c r="N42" s="127">
        <f t="shared" si="4"/>
        <v>2035</v>
      </c>
      <c r="O42" s="127">
        <f t="shared" si="4"/>
        <v>2036</v>
      </c>
    </row>
    <row r="43" spans="2:25" x14ac:dyDescent="0.25">
      <c r="B43" s="160" t="s">
        <v>241</v>
      </c>
      <c r="C43" s="98">
        <f>+SUM(C44:C50)</f>
        <v>107</v>
      </c>
      <c r="D43" s="98">
        <f t="shared" ref="D43:O43" si="5">+SUM(D44:D50)</f>
        <v>107</v>
      </c>
      <c r="E43" s="98">
        <f t="shared" si="5"/>
        <v>107</v>
      </c>
      <c r="F43" s="121">
        <f t="shared" si="5"/>
        <v>107</v>
      </c>
      <c r="G43" s="98">
        <f t="shared" si="5"/>
        <v>107</v>
      </c>
      <c r="H43" s="98">
        <f t="shared" si="5"/>
        <v>107</v>
      </c>
      <c r="I43" s="98">
        <f t="shared" si="5"/>
        <v>107</v>
      </c>
      <c r="J43" s="98">
        <f t="shared" si="5"/>
        <v>107</v>
      </c>
      <c r="K43" s="98">
        <f t="shared" si="5"/>
        <v>107</v>
      </c>
      <c r="L43" s="98">
        <f t="shared" si="5"/>
        <v>107</v>
      </c>
      <c r="M43" s="98">
        <f t="shared" si="5"/>
        <v>107</v>
      </c>
      <c r="N43" s="98">
        <f t="shared" si="5"/>
        <v>107</v>
      </c>
      <c r="O43" s="98">
        <f t="shared" si="5"/>
        <v>107</v>
      </c>
    </row>
    <row r="44" spans="2:25" x14ac:dyDescent="0.25">
      <c r="B44" s="105" t="s">
        <v>199</v>
      </c>
      <c r="C44" s="96">
        <f>+Hoja1!M11</f>
        <v>3</v>
      </c>
      <c r="D44" s="33">
        <f t="shared" ref="D44:O44" si="6">ROUND(($C$44*(1+$A$73)^(D42-$C$42)),0)</f>
        <v>3</v>
      </c>
      <c r="E44" s="33">
        <f t="shared" si="6"/>
        <v>3</v>
      </c>
      <c r="F44" s="31">
        <f t="shared" si="6"/>
        <v>3</v>
      </c>
      <c r="G44" s="31">
        <f t="shared" si="6"/>
        <v>3</v>
      </c>
      <c r="H44" s="31">
        <f t="shared" si="6"/>
        <v>3</v>
      </c>
      <c r="I44" s="31">
        <f t="shared" si="6"/>
        <v>3</v>
      </c>
      <c r="J44" s="31">
        <f t="shared" si="6"/>
        <v>3</v>
      </c>
      <c r="K44" s="31">
        <f t="shared" si="6"/>
        <v>3</v>
      </c>
      <c r="L44" s="31">
        <f t="shared" si="6"/>
        <v>3</v>
      </c>
      <c r="M44" s="31">
        <f t="shared" si="6"/>
        <v>3</v>
      </c>
      <c r="N44" s="31">
        <f t="shared" si="6"/>
        <v>3</v>
      </c>
      <c r="O44" s="31">
        <f t="shared" si="6"/>
        <v>3</v>
      </c>
    </row>
    <row r="45" spans="2:25" x14ac:dyDescent="0.25">
      <c r="B45" s="105" t="s">
        <v>198</v>
      </c>
      <c r="C45" s="96">
        <f>+Hoja1!C4</f>
        <v>7</v>
      </c>
      <c r="D45" s="33">
        <f t="shared" ref="D45:O45" si="7">ROUND(($C$45*(1+$A$73)^(D42-$C$42)),0)</f>
        <v>7</v>
      </c>
      <c r="E45" s="33">
        <f t="shared" si="7"/>
        <v>7</v>
      </c>
      <c r="F45" s="31">
        <f t="shared" si="7"/>
        <v>7</v>
      </c>
      <c r="G45" s="31">
        <f t="shared" si="7"/>
        <v>7</v>
      </c>
      <c r="H45" s="31">
        <f t="shared" si="7"/>
        <v>7</v>
      </c>
      <c r="I45" s="31">
        <f t="shared" si="7"/>
        <v>7</v>
      </c>
      <c r="J45" s="31">
        <f t="shared" si="7"/>
        <v>7</v>
      </c>
      <c r="K45" s="31">
        <f t="shared" si="7"/>
        <v>7</v>
      </c>
      <c r="L45" s="31">
        <f t="shared" si="7"/>
        <v>7</v>
      </c>
      <c r="M45" s="31">
        <f t="shared" si="7"/>
        <v>7</v>
      </c>
      <c r="N45" s="31">
        <f t="shared" si="7"/>
        <v>7</v>
      </c>
      <c r="O45" s="31">
        <f t="shared" si="7"/>
        <v>7</v>
      </c>
    </row>
    <row r="46" spans="2:25" x14ac:dyDescent="0.25">
      <c r="B46" s="51" t="s">
        <v>34</v>
      </c>
      <c r="C46" s="96">
        <f>+Hoja1!D4</f>
        <v>5</v>
      </c>
      <c r="D46" s="33">
        <f t="shared" ref="D46:O46" si="8">ROUND(($C$46*(1+$A$73)^(D42-$C$42)),0)</f>
        <v>5</v>
      </c>
      <c r="E46" s="33">
        <f t="shared" si="8"/>
        <v>5</v>
      </c>
      <c r="F46" s="31">
        <f t="shared" si="8"/>
        <v>5</v>
      </c>
      <c r="G46" s="31">
        <f t="shared" si="8"/>
        <v>5</v>
      </c>
      <c r="H46" s="31">
        <f t="shared" si="8"/>
        <v>5</v>
      </c>
      <c r="I46" s="31">
        <f t="shared" si="8"/>
        <v>5</v>
      </c>
      <c r="J46" s="31">
        <f t="shared" si="8"/>
        <v>5</v>
      </c>
      <c r="K46" s="31">
        <f t="shared" si="8"/>
        <v>5</v>
      </c>
      <c r="L46" s="31">
        <f t="shared" si="8"/>
        <v>5</v>
      </c>
      <c r="M46" s="31">
        <f t="shared" si="8"/>
        <v>5</v>
      </c>
      <c r="N46" s="31">
        <f t="shared" si="8"/>
        <v>5</v>
      </c>
      <c r="O46" s="31">
        <f t="shared" si="8"/>
        <v>5</v>
      </c>
    </row>
    <row r="47" spans="2:25" x14ac:dyDescent="0.25">
      <c r="B47" s="51" t="s">
        <v>29</v>
      </c>
      <c r="C47" s="109">
        <f>+Hoja1!E4</f>
        <v>13</v>
      </c>
      <c r="D47" s="33">
        <f t="shared" ref="D47:O47" si="9">ROUND(($C$47*(1+$A$73)^(D42-$C$42)),0)</f>
        <v>13</v>
      </c>
      <c r="E47" s="33">
        <f t="shared" si="9"/>
        <v>13</v>
      </c>
      <c r="F47" s="31">
        <f t="shared" si="9"/>
        <v>13</v>
      </c>
      <c r="G47" s="31">
        <f t="shared" si="9"/>
        <v>13</v>
      </c>
      <c r="H47" s="31">
        <f t="shared" si="9"/>
        <v>13</v>
      </c>
      <c r="I47" s="31">
        <f t="shared" si="9"/>
        <v>13</v>
      </c>
      <c r="J47" s="31">
        <f t="shared" si="9"/>
        <v>13</v>
      </c>
      <c r="K47" s="31">
        <f t="shared" si="9"/>
        <v>13</v>
      </c>
      <c r="L47" s="31">
        <f t="shared" si="9"/>
        <v>13</v>
      </c>
      <c r="M47" s="31">
        <f t="shared" si="9"/>
        <v>13</v>
      </c>
      <c r="N47" s="31">
        <f t="shared" si="9"/>
        <v>13</v>
      </c>
      <c r="O47" s="31">
        <f t="shared" si="9"/>
        <v>13</v>
      </c>
    </row>
    <row r="48" spans="2:25" x14ac:dyDescent="0.25">
      <c r="B48" s="51" t="s">
        <v>25</v>
      </c>
      <c r="C48" s="96">
        <f>+Hoja1!F4</f>
        <v>15</v>
      </c>
      <c r="D48" s="33">
        <f t="shared" ref="D48:O48" si="10">ROUND(($C$48*(1+$A$73)^(D42-$C$42)),0)</f>
        <v>15</v>
      </c>
      <c r="E48" s="33">
        <f t="shared" si="10"/>
        <v>15</v>
      </c>
      <c r="F48" s="31">
        <f t="shared" si="10"/>
        <v>15</v>
      </c>
      <c r="G48" s="31">
        <f t="shared" si="10"/>
        <v>15</v>
      </c>
      <c r="H48" s="31">
        <f t="shared" si="10"/>
        <v>15</v>
      </c>
      <c r="I48" s="31">
        <f t="shared" si="10"/>
        <v>15</v>
      </c>
      <c r="J48" s="31">
        <f t="shared" si="10"/>
        <v>15</v>
      </c>
      <c r="K48" s="31">
        <f t="shared" si="10"/>
        <v>15</v>
      </c>
      <c r="L48" s="31">
        <f t="shared" si="10"/>
        <v>15</v>
      </c>
      <c r="M48" s="31">
        <f t="shared" si="10"/>
        <v>15</v>
      </c>
      <c r="N48" s="31">
        <f t="shared" si="10"/>
        <v>15</v>
      </c>
      <c r="O48" s="31">
        <f t="shared" si="10"/>
        <v>15</v>
      </c>
    </row>
    <row r="49" spans="2:21" x14ac:dyDescent="0.25">
      <c r="B49" s="51" t="s">
        <v>26</v>
      </c>
      <c r="C49" s="96">
        <f>+Hoja1!G4</f>
        <v>13</v>
      </c>
      <c r="D49" s="33">
        <f t="shared" ref="D49:O49" si="11">ROUND(($C$49*(1+$A$73)^(D42-$C$42)),0)</f>
        <v>13</v>
      </c>
      <c r="E49" s="33">
        <f t="shared" si="11"/>
        <v>13</v>
      </c>
      <c r="F49" s="31">
        <f t="shared" si="11"/>
        <v>13</v>
      </c>
      <c r="G49" s="31">
        <f t="shared" si="11"/>
        <v>13</v>
      </c>
      <c r="H49" s="31">
        <f t="shared" si="11"/>
        <v>13</v>
      </c>
      <c r="I49" s="31">
        <f t="shared" si="11"/>
        <v>13</v>
      </c>
      <c r="J49" s="31">
        <f t="shared" si="11"/>
        <v>13</v>
      </c>
      <c r="K49" s="31">
        <f t="shared" si="11"/>
        <v>13</v>
      </c>
      <c r="L49" s="31">
        <f t="shared" si="11"/>
        <v>13</v>
      </c>
      <c r="M49" s="31">
        <f t="shared" si="11"/>
        <v>13</v>
      </c>
      <c r="N49" s="31">
        <f t="shared" si="11"/>
        <v>13</v>
      </c>
      <c r="O49" s="31">
        <f t="shared" si="11"/>
        <v>13</v>
      </c>
    </row>
    <row r="50" spans="2:21" x14ac:dyDescent="0.25">
      <c r="B50" s="51" t="s">
        <v>196</v>
      </c>
      <c r="C50" s="96">
        <f>+SUM(Hoja1!H4:N4)</f>
        <v>51</v>
      </c>
      <c r="D50" s="33">
        <f t="shared" ref="D50:O50" si="12">ROUND(($C$50*(1+$A$73)^(D42-$C$42)),0)</f>
        <v>51</v>
      </c>
      <c r="E50" s="33">
        <f t="shared" si="12"/>
        <v>51</v>
      </c>
      <c r="F50" s="41">
        <f t="shared" si="12"/>
        <v>51</v>
      </c>
      <c r="G50" s="41">
        <f t="shared" si="12"/>
        <v>51</v>
      </c>
      <c r="H50" s="41">
        <f t="shared" si="12"/>
        <v>51</v>
      </c>
      <c r="I50" s="41">
        <f t="shared" si="12"/>
        <v>51</v>
      </c>
      <c r="J50" s="41">
        <f t="shared" si="12"/>
        <v>51</v>
      </c>
      <c r="K50" s="41">
        <f t="shared" si="12"/>
        <v>51</v>
      </c>
      <c r="L50" s="41">
        <f t="shared" si="12"/>
        <v>51</v>
      </c>
      <c r="M50" s="41">
        <f t="shared" si="12"/>
        <v>51</v>
      </c>
      <c r="N50" s="41">
        <f t="shared" si="12"/>
        <v>51</v>
      </c>
      <c r="O50" s="41">
        <f t="shared" si="12"/>
        <v>51</v>
      </c>
    </row>
    <row r="52" spans="2:21" x14ac:dyDescent="0.25">
      <c r="B52" s="239" t="s">
        <v>24</v>
      </c>
      <c r="C52" s="249" t="s">
        <v>143</v>
      </c>
      <c r="D52" s="250"/>
      <c r="E52" s="251"/>
      <c r="F52" s="255" t="s">
        <v>39</v>
      </c>
      <c r="G52" s="255"/>
      <c r="H52" s="255"/>
      <c r="I52" s="255"/>
      <c r="J52" s="255"/>
      <c r="K52" s="255"/>
      <c r="L52" s="255"/>
      <c r="M52" s="255"/>
      <c r="N52" s="255"/>
      <c r="O52" s="255"/>
    </row>
    <row r="53" spans="2:21" x14ac:dyDescent="0.25">
      <c r="B53" s="239"/>
      <c r="C53" s="259">
        <v>0</v>
      </c>
      <c r="D53" s="260"/>
      <c r="E53" s="261"/>
      <c r="F53" s="24">
        <v>1</v>
      </c>
      <c r="G53" s="24">
        <v>2</v>
      </c>
      <c r="H53" s="24">
        <v>3</v>
      </c>
      <c r="I53" s="24">
        <v>4</v>
      </c>
      <c r="J53" s="24">
        <v>5</v>
      </c>
      <c r="K53" s="24">
        <v>6</v>
      </c>
      <c r="L53" s="24">
        <v>7</v>
      </c>
      <c r="M53" s="24">
        <v>8</v>
      </c>
      <c r="N53" s="24">
        <v>9</v>
      </c>
      <c r="O53" s="24">
        <v>10</v>
      </c>
    </row>
    <row r="54" spans="2:21" x14ac:dyDescent="0.25">
      <c r="B54" s="239"/>
      <c r="C54" s="95">
        <f>+C42</f>
        <v>2024</v>
      </c>
      <c r="D54" s="95">
        <f t="shared" ref="D54:O54" si="13">+D42</f>
        <v>2025</v>
      </c>
      <c r="E54" s="95">
        <f t="shared" si="13"/>
        <v>2026</v>
      </c>
      <c r="F54" s="95">
        <f t="shared" si="13"/>
        <v>2027</v>
      </c>
      <c r="G54" s="95">
        <f t="shared" si="13"/>
        <v>2028</v>
      </c>
      <c r="H54" s="95">
        <f t="shared" si="13"/>
        <v>2029</v>
      </c>
      <c r="I54" s="95">
        <f t="shared" si="13"/>
        <v>2030</v>
      </c>
      <c r="J54" s="95">
        <f t="shared" si="13"/>
        <v>2031</v>
      </c>
      <c r="K54" s="95">
        <f t="shared" si="13"/>
        <v>2032</v>
      </c>
      <c r="L54" s="95">
        <f t="shared" si="13"/>
        <v>2033</v>
      </c>
      <c r="M54" s="95">
        <f t="shared" si="13"/>
        <v>2034</v>
      </c>
      <c r="N54" s="95">
        <f t="shared" si="13"/>
        <v>2035</v>
      </c>
      <c r="O54" s="95">
        <f t="shared" si="13"/>
        <v>2036</v>
      </c>
    </row>
    <row r="55" spans="2:21" s="93" customFormat="1" x14ac:dyDescent="0.25">
      <c r="B55" s="99" t="s">
        <v>192</v>
      </c>
      <c r="C55" s="106">
        <f>+SUM(C56:C60)</f>
        <v>43</v>
      </c>
      <c r="D55" s="106">
        <f t="shared" ref="D55:O55" si="14">+SUM(D56:D60)</f>
        <v>43</v>
      </c>
      <c r="E55" s="143">
        <f t="shared" si="14"/>
        <v>43</v>
      </c>
      <c r="F55" s="106">
        <f t="shared" si="14"/>
        <v>43</v>
      </c>
      <c r="G55" s="106">
        <f t="shared" si="14"/>
        <v>43</v>
      </c>
      <c r="H55" s="106">
        <f t="shared" si="14"/>
        <v>43</v>
      </c>
      <c r="I55" s="106">
        <f t="shared" si="14"/>
        <v>43</v>
      </c>
      <c r="J55" s="106">
        <f t="shared" si="14"/>
        <v>43</v>
      </c>
      <c r="K55" s="106">
        <f t="shared" si="14"/>
        <v>43</v>
      </c>
      <c r="L55" s="106">
        <f t="shared" si="14"/>
        <v>43</v>
      </c>
      <c r="M55" s="106">
        <f t="shared" si="14"/>
        <v>43</v>
      </c>
      <c r="N55" s="106">
        <f t="shared" si="14"/>
        <v>43</v>
      </c>
      <c r="O55" s="106">
        <f t="shared" si="14"/>
        <v>43</v>
      </c>
      <c r="P55"/>
      <c r="Q55"/>
      <c r="R55"/>
      <c r="S55"/>
      <c r="T55"/>
      <c r="U55" s="119"/>
    </row>
    <row r="56" spans="2:21" x14ac:dyDescent="0.25">
      <c r="B56" s="105" t="s">
        <v>201</v>
      </c>
      <c r="C56" s="96">
        <f>+Hoja1!M11</f>
        <v>3</v>
      </c>
      <c r="D56" s="118">
        <f t="shared" ref="D56:O56" si="15">+ROUND(($C$56*(1+$A$73)^(D54-$C$54)),0)</f>
        <v>3</v>
      </c>
      <c r="E56" s="118">
        <f t="shared" si="15"/>
        <v>3</v>
      </c>
      <c r="F56" s="187">
        <f t="shared" si="15"/>
        <v>3</v>
      </c>
      <c r="G56" s="186">
        <f t="shared" si="15"/>
        <v>3</v>
      </c>
      <c r="H56" s="186">
        <f t="shared" si="15"/>
        <v>3</v>
      </c>
      <c r="I56" s="186">
        <f t="shared" si="15"/>
        <v>3</v>
      </c>
      <c r="J56" s="186">
        <f t="shared" si="15"/>
        <v>3</v>
      </c>
      <c r="K56" s="186">
        <f t="shared" si="15"/>
        <v>3</v>
      </c>
      <c r="L56" s="186">
        <f t="shared" si="15"/>
        <v>3</v>
      </c>
      <c r="M56" s="186">
        <f t="shared" si="15"/>
        <v>3</v>
      </c>
      <c r="N56" s="186">
        <f t="shared" si="15"/>
        <v>3</v>
      </c>
      <c r="O56" s="186">
        <f t="shared" si="15"/>
        <v>3</v>
      </c>
    </row>
    <row r="57" spans="2:21" x14ac:dyDescent="0.25">
      <c r="B57" s="105" t="s">
        <v>373</v>
      </c>
      <c r="C57" s="96">
        <f>+Hoja1!C4</f>
        <v>7</v>
      </c>
      <c r="D57" s="118">
        <f t="shared" ref="D57:O57" si="16">+ROUND(($C$57*(1+$A$73)^(D54-$C$54)),0)</f>
        <v>7</v>
      </c>
      <c r="E57" s="118">
        <f t="shared" si="16"/>
        <v>7</v>
      </c>
      <c r="F57" s="185">
        <f t="shared" si="16"/>
        <v>7</v>
      </c>
      <c r="G57" s="122">
        <f t="shared" si="16"/>
        <v>7</v>
      </c>
      <c r="H57" s="122">
        <f t="shared" si="16"/>
        <v>7</v>
      </c>
      <c r="I57" s="122">
        <f t="shared" si="16"/>
        <v>7</v>
      </c>
      <c r="J57" s="122">
        <f t="shared" si="16"/>
        <v>7</v>
      </c>
      <c r="K57" s="122">
        <f t="shared" si="16"/>
        <v>7</v>
      </c>
      <c r="L57" s="122">
        <f t="shared" si="16"/>
        <v>7</v>
      </c>
      <c r="M57" s="122">
        <f t="shared" si="16"/>
        <v>7</v>
      </c>
      <c r="N57" s="122">
        <f t="shared" si="16"/>
        <v>7</v>
      </c>
      <c r="O57" s="122">
        <f t="shared" si="16"/>
        <v>7</v>
      </c>
    </row>
    <row r="58" spans="2:21" x14ac:dyDescent="0.25">
      <c r="B58" s="51" t="s">
        <v>200</v>
      </c>
      <c r="C58" s="96">
        <f>+Hoja1!D4</f>
        <v>5</v>
      </c>
      <c r="D58" s="118">
        <f t="shared" ref="D58:O58" si="17">+ROUND(($C$58*(1+$A$73)^(D54-$C$54)),0)</f>
        <v>5</v>
      </c>
      <c r="E58" s="118">
        <f t="shared" si="17"/>
        <v>5</v>
      </c>
      <c r="F58" s="185">
        <f t="shared" si="17"/>
        <v>5</v>
      </c>
      <c r="G58" s="122">
        <f t="shared" si="17"/>
        <v>5</v>
      </c>
      <c r="H58" s="122">
        <f t="shared" si="17"/>
        <v>5</v>
      </c>
      <c r="I58" s="122">
        <f t="shared" si="17"/>
        <v>5</v>
      </c>
      <c r="J58" s="122">
        <f t="shared" si="17"/>
        <v>5</v>
      </c>
      <c r="K58" s="122">
        <f t="shared" si="17"/>
        <v>5</v>
      </c>
      <c r="L58" s="122">
        <f t="shared" si="17"/>
        <v>5</v>
      </c>
      <c r="M58" s="122">
        <f t="shared" si="17"/>
        <v>5</v>
      </c>
      <c r="N58" s="122">
        <f t="shared" si="17"/>
        <v>5</v>
      </c>
      <c r="O58" s="122">
        <f t="shared" si="17"/>
        <v>5</v>
      </c>
    </row>
    <row r="59" spans="2:21" x14ac:dyDescent="0.25">
      <c r="B59" s="51" t="s">
        <v>29</v>
      </c>
      <c r="C59" s="96">
        <f>+Hoja1!E4</f>
        <v>13</v>
      </c>
      <c r="D59" s="118">
        <f t="shared" ref="D59:O59" si="18">+ROUND(($C$59*(1+$A$73)^(D54-$C$54)),0)</f>
        <v>13</v>
      </c>
      <c r="E59" s="118">
        <f t="shared" si="18"/>
        <v>13</v>
      </c>
      <c r="F59" s="185">
        <f t="shared" si="18"/>
        <v>13</v>
      </c>
      <c r="G59" s="122">
        <f t="shared" si="18"/>
        <v>13</v>
      </c>
      <c r="H59" s="122">
        <f t="shared" si="18"/>
        <v>13</v>
      </c>
      <c r="I59" s="122">
        <f t="shared" si="18"/>
        <v>13</v>
      </c>
      <c r="J59" s="122">
        <f t="shared" si="18"/>
        <v>13</v>
      </c>
      <c r="K59" s="122">
        <f t="shared" si="18"/>
        <v>13</v>
      </c>
      <c r="L59" s="122">
        <f t="shared" si="18"/>
        <v>13</v>
      </c>
      <c r="M59" s="122">
        <f t="shared" si="18"/>
        <v>13</v>
      </c>
      <c r="N59" s="122">
        <f t="shared" si="18"/>
        <v>13</v>
      </c>
      <c r="O59" s="122">
        <f t="shared" si="18"/>
        <v>13</v>
      </c>
    </row>
    <row r="60" spans="2:21" x14ac:dyDescent="0.25">
      <c r="B60" s="51" t="s">
        <v>25</v>
      </c>
      <c r="C60" s="107">
        <f>+Hoja1!F4</f>
        <v>15</v>
      </c>
      <c r="D60" s="118">
        <f t="shared" ref="D60:O60" si="19">+ROUND(($C$60*(1+$A$73)^(D54-$C$54)),0)</f>
        <v>15</v>
      </c>
      <c r="E60" s="118">
        <f t="shared" si="19"/>
        <v>15</v>
      </c>
      <c r="F60" s="179">
        <f t="shared" si="19"/>
        <v>15</v>
      </c>
      <c r="G60" s="184">
        <f t="shared" si="19"/>
        <v>15</v>
      </c>
      <c r="H60" s="184">
        <f t="shared" si="19"/>
        <v>15</v>
      </c>
      <c r="I60" s="184">
        <f t="shared" si="19"/>
        <v>15</v>
      </c>
      <c r="J60" s="184">
        <f t="shared" si="19"/>
        <v>15</v>
      </c>
      <c r="K60" s="184">
        <f t="shared" si="19"/>
        <v>15</v>
      </c>
      <c r="L60" s="184">
        <f t="shared" si="19"/>
        <v>15</v>
      </c>
      <c r="M60" s="184">
        <f t="shared" si="19"/>
        <v>15</v>
      </c>
      <c r="N60" s="184">
        <f t="shared" si="19"/>
        <v>15</v>
      </c>
      <c r="O60" s="184">
        <f t="shared" si="19"/>
        <v>15</v>
      </c>
    </row>
    <row r="62" spans="2:21" x14ac:dyDescent="0.25">
      <c r="B62" s="239" t="s">
        <v>24</v>
      </c>
      <c r="C62" s="249" t="s">
        <v>143</v>
      </c>
      <c r="D62" s="250"/>
      <c r="E62" s="251"/>
      <c r="F62" s="255" t="s">
        <v>39</v>
      </c>
      <c r="G62" s="255"/>
      <c r="H62" s="255"/>
      <c r="I62" s="255"/>
      <c r="J62" s="255"/>
      <c r="K62" s="255"/>
      <c r="L62" s="255"/>
      <c r="M62" s="255"/>
      <c r="N62" s="255"/>
      <c r="O62" s="255"/>
    </row>
    <row r="63" spans="2:21" x14ac:dyDescent="0.25">
      <c r="B63" s="239"/>
      <c r="C63" s="259">
        <v>0</v>
      </c>
      <c r="D63" s="260"/>
      <c r="E63" s="261"/>
      <c r="F63" s="24">
        <v>1</v>
      </c>
      <c r="G63" s="24">
        <v>2</v>
      </c>
      <c r="H63" s="24">
        <v>3</v>
      </c>
      <c r="I63" s="24">
        <v>4</v>
      </c>
      <c r="J63" s="24">
        <v>5</v>
      </c>
      <c r="K63" s="24">
        <v>6</v>
      </c>
      <c r="L63" s="24">
        <v>7</v>
      </c>
      <c r="M63" s="24">
        <v>8</v>
      </c>
      <c r="N63" s="24">
        <v>9</v>
      </c>
      <c r="O63" s="24">
        <v>10</v>
      </c>
    </row>
    <row r="64" spans="2:21" x14ac:dyDescent="0.25">
      <c r="B64" s="239"/>
      <c r="C64" s="20">
        <v>2024</v>
      </c>
      <c r="D64" s="20">
        <v>2025</v>
      </c>
      <c r="E64" s="20">
        <v>2026</v>
      </c>
      <c r="F64" s="20">
        <v>2027</v>
      </c>
      <c r="G64" s="20">
        <v>2028</v>
      </c>
      <c r="H64" s="20">
        <v>2029</v>
      </c>
      <c r="I64" s="20">
        <v>2030</v>
      </c>
      <c r="J64" s="20">
        <v>2031</v>
      </c>
      <c r="K64" s="20">
        <v>2032</v>
      </c>
      <c r="L64" s="20">
        <v>2033</v>
      </c>
      <c r="M64" s="20">
        <v>2034</v>
      </c>
      <c r="N64" s="20">
        <v>2035</v>
      </c>
      <c r="O64" s="20">
        <v>2036</v>
      </c>
    </row>
    <row r="65" spans="1:25" x14ac:dyDescent="0.25">
      <c r="B65" s="99" t="s">
        <v>242</v>
      </c>
      <c r="C65" s="97">
        <f>+SUM(C66:C71)</f>
        <v>71</v>
      </c>
      <c r="D65" s="97">
        <f t="shared" ref="D65:O65" si="20">+SUM(D66:D71)</f>
        <v>71</v>
      </c>
      <c r="E65" s="97">
        <f t="shared" si="20"/>
        <v>71</v>
      </c>
      <c r="F65" s="97">
        <f t="shared" si="20"/>
        <v>71</v>
      </c>
      <c r="G65" s="97">
        <f t="shared" si="20"/>
        <v>71</v>
      </c>
      <c r="H65" s="97">
        <f t="shared" si="20"/>
        <v>71</v>
      </c>
      <c r="I65" s="97">
        <f t="shared" si="20"/>
        <v>71</v>
      </c>
      <c r="J65" s="97">
        <f t="shared" si="20"/>
        <v>71</v>
      </c>
      <c r="K65" s="97">
        <f t="shared" si="20"/>
        <v>71</v>
      </c>
      <c r="L65" s="97">
        <f t="shared" si="20"/>
        <v>71</v>
      </c>
      <c r="M65" s="97">
        <f t="shared" si="20"/>
        <v>71</v>
      </c>
      <c r="N65" s="97">
        <f t="shared" si="20"/>
        <v>71</v>
      </c>
      <c r="O65" s="97">
        <f t="shared" si="20"/>
        <v>71</v>
      </c>
    </row>
    <row r="66" spans="1:25" x14ac:dyDescent="0.25">
      <c r="B66" s="105" t="s">
        <v>373</v>
      </c>
      <c r="C66" s="96">
        <f>+SUM(Hoja1!C4)</f>
        <v>7</v>
      </c>
      <c r="D66" s="118">
        <f t="shared" ref="D66:O66" si="21">+ROUND(($C$66*(1+$A$73)^(D64-$C$64)),0)</f>
        <v>7</v>
      </c>
      <c r="E66" s="118">
        <f t="shared" si="21"/>
        <v>7</v>
      </c>
      <c r="F66" s="187">
        <f t="shared" si="21"/>
        <v>7</v>
      </c>
      <c r="G66" s="186">
        <f t="shared" si="21"/>
        <v>7</v>
      </c>
      <c r="H66" s="186">
        <f t="shared" si="21"/>
        <v>7</v>
      </c>
      <c r="I66" s="186">
        <f t="shared" si="21"/>
        <v>7</v>
      </c>
      <c r="J66" s="186">
        <f t="shared" si="21"/>
        <v>7</v>
      </c>
      <c r="K66" s="186">
        <f t="shared" si="21"/>
        <v>7</v>
      </c>
      <c r="L66" s="186">
        <f t="shared" si="21"/>
        <v>7</v>
      </c>
      <c r="M66" s="186">
        <f t="shared" si="21"/>
        <v>7</v>
      </c>
      <c r="N66" s="186">
        <f t="shared" si="21"/>
        <v>7</v>
      </c>
      <c r="O66" s="186">
        <f t="shared" si="21"/>
        <v>7</v>
      </c>
    </row>
    <row r="67" spans="1:25" x14ac:dyDescent="0.25">
      <c r="B67" s="51" t="s">
        <v>34</v>
      </c>
      <c r="C67" s="96">
        <f>+Hoja1!D4</f>
        <v>5</v>
      </c>
      <c r="D67" s="118">
        <f>+ROUND(($C$67*(1+$A$73)^(D64-$C$64)),0)</f>
        <v>5</v>
      </c>
      <c r="E67" s="118">
        <f t="shared" ref="E67:O67" si="22">+ROUND(($C$67*(1+$A$73)^(E64-$C$64)),0)</f>
        <v>5</v>
      </c>
      <c r="F67" s="185">
        <f t="shared" si="22"/>
        <v>5</v>
      </c>
      <c r="G67" s="122">
        <f t="shared" si="22"/>
        <v>5</v>
      </c>
      <c r="H67" s="122">
        <f t="shared" si="22"/>
        <v>5</v>
      </c>
      <c r="I67" s="122">
        <f t="shared" si="22"/>
        <v>5</v>
      </c>
      <c r="J67" s="122">
        <f t="shared" si="22"/>
        <v>5</v>
      </c>
      <c r="K67" s="122">
        <f t="shared" si="22"/>
        <v>5</v>
      </c>
      <c r="L67" s="122">
        <f t="shared" si="22"/>
        <v>5</v>
      </c>
      <c r="M67" s="122">
        <f t="shared" si="22"/>
        <v>5</v>
      </c>
      <c r="N67" s="122">
        <f t="shared" si="22"/>
        <v>5</v>
      </c>
      <c r="O67" s="122">
        <f t="shared" si="22"/>
        <v>5</v>
      </c>
    </row>
    <row r="68" spans="1:25" x14ac:dyDescent="0.25">
      <c r="B68" s="51" t="s">
        <v>29</v>
      </c>
      <c r="C68" s="96">
        <f>+Hoja1!E4</f>
        <v>13</v>
      </c>
      <c r="D68" s="118">
        <f>+ROUND(($C$68*(1+$A$73)^(D64-$C$64)),0)</f>
        <v>13</v>
      </c>
      <c r="E68" s="118">
        <f t="shared" ref="E68:O68" si="23">+ROUND(($C$68*(1+$A$73)^(E64-$C$64)),0)</f>
        <v>13</v>
      </c>
      <c r="F68" s="185">
        <f t="shared" si="23"/>
        <v>13</v>
      </c>
      <c r="G68" s="122">
        <f t="shared" si="23"/>
        <v>13</v>
      </c>
      <c r="H68" s="122">
        <f t="shared" si="23"/>
        <v>13</v>
      </c>
      <c r="I68" s="122">
        <f t="shared" si="23"/>
        <v>13</v>
      </c>
      <c r="J68" s="122">
        <f t="shared" si="23"/>
        <v>13</v>
      </c>
      <c r="K68" s="122">
        <f t="shared" si="23"/>
        <v>13</v>
      </c>
      <c r="L68" s="122">
        <f t="shared" si="23"/>
        <v>13</v>
      </c>
      <c r="M68" s="122">
        <f t="shared" si="23"/>
        <v>13</v>
      </c>
      <c r="N68" s="122">
        <f t="shared" si="23"/>
        <v>13</v>
      </c>
      <c r="O68" s="122">
        <f t="shared" si="23"/>
        <v>13</v>
      </c>
    </row>
    <row r="69" spans="1:25" x14ac:dyDescent="0.25">
      <c r="B69" s="51" t="s">
        <v>25</v>
      </c>
      <c r="C69" s="96">
        <f>+Hoja1!F4</f>
        <v>15</v>
      </c>
      <c r="D69" s="118">
        <f>+ROUND(($C$69*(1+$A$73)^(D64-$C$64)),0)</f>
        <v>15</v>
      </c>
      <c r="E69" s="118">
        <f t="shared" ref="E69:O69" si="24">+ROUND(($C$69*(1+$A$73)^(E64-$C$64)),0)</f>
        <v>15</v>
      </c>
      <c r="F69" s="185">
        <f t="shared" si="24"/>
        <v>15</v>
      </c>
      <c r="G69" s="122">
        <f t="shared" si="24"/>
        <v>15</v>
      </c>
      <c r="H69" s="122">
        <f t="shared" si="24"/>
        <v>15</v>
      </c>
      <c r="I69" s="122">
        <f t="shared" si="24"/>
        <v>15</v>
      </c>
      <c r="J69" s="122">
        <f t="shared" si="24"/>
        <v>15</v>
      </c>
      <c r="K69" s="122">
        <f t="shared" si="24"/>
        <v>15</v>
      </c>
      <c r="L69" s="122">
        <f t="shared" si="24"/>
        <v>15</v>
      </c>
      <c r="M69" s="122">
        <f t="shared" si="24"/>
        <v>15</v>
      </c>
      <c r="N69" s="122">
        <f t="shared" si="24"/>
        <v>15</v>
      </c>
      <c r="O69" s="122">
        <f t="shared" si="24"/>
        <v>15</v>
      </c>
    </row>
    <row r="70" spans="1:25" x14ac:dyDescent="0.25">
      <c r="B70" s="51" t="s">
        <v>202</v>
      </c>
      <c r="C70" s="96">
        <f>+Hoja1!G4</f>
        <v>13</v>
      </c>
      <c r="D70" s="118">
        <f>+ROUND(($C$70*(1+$A$73)^(D64-$C$64)),0)</f>
        <v>13</v>
      </c>
      <c r="E70" s="118">
        <f t="shared" ref="E70:O70" si="25">+ROUND(($C$70*(1+$A$73)^(E64-$C$64)),0)</f>
        <v>13</v>
      </c>
      <c r="F70" s="185">
        <f t="shared" si="25"/>
        <v>13</v>
      </c>
      <c r="G70" s="122">
        <f t="shared" si="25"/>
        <v>13</v>
      </c>
      <c r="H70" s="122">
        <f t="shared" si="25"/>
        <v>13</v>
      </c>
      <c r="I70" s="122">
        <f t="shared" si="25"/>
        <v>13</v>
      </c>
      <c r="J70" s="122">
        <f t="shared" si="25"/>
        <v>13</v>
      </c>
      <c r="K70" s="122">
        <f t="shared" si="25"/>
        <v>13</v>
      </c>
      <c r="L70" s="122">
        <f t="shared" si="25"/>
        <v>13</v>
      </c>
      <c r="M70" s="122">
        <f t="shared" si="25"/>
        <v>13</v>
      </c>
      <c r="N70" s="122">
        <f t="shared" si="25"/>
        <v>13</v>
      </c>
      <c r="O70" s="122">
        <f t="shared" si="25"/>
        <v>13</v>
      </c>
    </row>
    <row r="71" spans="1:25" x14ac:dyDescent="0.25">
      <c r="B71" s="51" t="s">
        <v>195</v>
      </c>
      <c r="C71" s="96">
        <f>+Hoja1!I11</f>
        <v>18</v>
      </c>
      <c r="D71" s="118">
        <f>+ROUND(($C$71*(1+$A$73)^(D64-$C$64)),0)</f>
        <v>18</v>
      </c>
      <c r="E71" s="118">
        <f t="shared" ref="E71:O71" si="26">+ROUND(($C$71*(1+$A$73)^(E64-$C$64)),0)</f>
        <v>18</v>
      </c>
      <c r="F71" s="179">
        <f t="shared" si="26"/>
        <v>18</v>
      </c>
      <c r="G71" s="184">
        <f t="shared" si="26"/>
        <v>18</v>
      </c>
      <c r="H71" s="184">
        <f t="shared" si="26"/>
        <v>18</v>
      </c>
      <c r="I71" s="184">
        <f t="shared" si="26"/>
        <v>18</v>
      </c>
      <c r="J71" s="184">
        <f t="shared" si="26"/>
        <v>18</v>
      </c>
      <c r="K71" s="184">
        <f t="shared" si="26"/>
        <v>18</v>
      </c>
      <c r="L71" s="184">
        <f t="shared" si="26"/>
        <v>18</v>
      </c>
      <c r="M71" s="184">
        <f t="shared" si="26"/>
        <v>18</v>
      </c>
      <c r="N71" s="184">
        <f t="shared" si="26"/>
        <v>18</v>
      </c>
      <c r="O71" s="184">
        <f t="shared" si="26"/>
        <v>18</v>
      </c>
    </row>
    <row r="73" spans="1:25" ht="25.5" customHeight="1" x14ac:dyDescent="0.25">
      <c r="A73" s="126">
        <f>+Hoja3!C8</f>
        <v>2.9999999999999997E-4</v>
      </c>
      <c r="B73" s="262" t="s">
        <v>37</v>
      </c>
      <c r="C73" s="263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</row>
    <row r="74" spans="1:25" x14ac:dyDescent="0.25">
      <c r="A74" s="256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</row>
    <row r="75" spans="1:25" x14ac:dyDescent="0.25">
      <c r="B75" s="252" t="s">
        <v>38</v>
      </c>
      <c r="C75" s="249" t="s">
        <v>143</v>
      </c>
      <c r="D75" s="250"/>
      <c r="E75" s="251"/>
      <c r="F75" s="255" t="s">
        <v>39</v>
      </c>
      <c r="G75" s="255"/>
      <c r="H75" s="255"/>
      <c r="I75" s="255"/>
      <c r="J75" s="255"/>
      <c r="K75" s="255"/>
      <c r="L75" s="255"/>
      <c r="M75" s="255"/>
      <c r="N75" s="255"/>
      <c r="O75" s="255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14.25" customHeight="1" x14ac:dyDescent="0.25">
      <c r="B76" s="253"/>
      <c r="C76" s="239">
        <v>0</v>
      </c>
      <c r="D76" s="239"/>
      <c r="E76" s="239"/>
      <c r="F76" s="24">
        <v>1</v>
      </c>
      <c r="G76" s="25">
        <v>2</v>
      </c>
      <c r="H76" s="25">
        <v>3</v>
      </c>
      <c r="I76" s="25">
        <v>4</v>
      </c>
      <c r="J76" s="25">
        <v>5</v>
      </c>
      <c r="K76" s="25">
        <v>6</v>
      </c>
      <c r="L76" s="25">
        <v>7</v>
      </c>
      <c r="M76" s="25">
        <v>8</v>
      </c>
      <c r="N76" s="25">
        <v>9</v>
      </c>
      <c r="O76" s="24">
        <v>10</v>
      </c>
    </row>
    <row r="77" spans="1:25" ht="12" customHeight="1" x14ac:dyDescent="0.25">
      <c r="B77" s="254"/>
      <c r="C77" s="95">
        <v>2024</v>
      </c>
      <c r="D77" s="95">
        <v>2025</v>
      </c>
      <c r="E77" s="95">
        <v>2026</v>
      </c>
      <c r="F77" s="95">
        <v>2027</v>
      </c>
      <c r="G77" s="95">
        <v>2028</v>
      </c>
      <c r="H77" s="95">
        <v>2029</v>
      </c>
      <c r="I77" s="95">
        <v>2030</v>
      </c>
      <c r="J77" s="95">
        <v>2031</v>
      </c>
      <c r="K77" s="95">
        <v>2032</v>
      </c>
      <c r="L77" s="95">
        <v>2033</v>
      </c>
      <c r="M77" s="95">
        <v>2034</v>
      </c>
      <c r="N77" s="95">
        <v>2035</v>
      </c>
      <c r="O77" s="95">
        <v>2036</v>
      </c>
    </row>
    <row r="78" spans="1:25" x14ac:dyDescent="0.25">
      <c r="B78" s="28" t="s">
        <v>379</v>
      </c>
      <c r="C78" s="98">
        <f>+SUM(C79:C84)</f>
        <v>364</v>
      </c>
      <c r="D78" s="98">
        <f>+SUM(D79:D84)</f>
        <v>364</v>
      </c>
      <c r="E78" s="120">
        <f t="shared" ref="E78:O78" si="27">+SUM(E79:E84)</f>
        <v>364</v>
      </c>
      <c r="F78" s="143">
        <f t="shared" si="27"/>
        <v>364</v>
      </c>
      <c r="G78" s="180">
        <f t="shared" si="27"/>
        <v>364</v>
      </c>
      <c r="H78" s="180">
        <f t="shared" si="27"/>
        <v>364</v>
      </c>
      <c r="I78" s="180">
        <f t="shared" si="27"/>
        <v>364</v>
      </c>
      <c r="J78" s="180">
        <f t="shared" si="27"/>
        <v>364</v>
      </c>
      <c r="K78" s="180">
        <f t="shared" si="27"/>
        <v>364</v>
      </c>
      <c r="L78" s="180">
        <f t="shared" si="27"/>
        <v>364</v>
      </c>
      <c r="M78" s="180">
        <f t="shared" si="27"/>
        <v>364</v>
      </c>
      <c r="N78" s="180">
        <f t="shared" si="27"/>
        <v>364</v>
      </c>
      <c r="O78" s="180">
        <f t="shared" si="27"/>
        <v>364</v>
      </c>
    </row>
    <row r="79" spans="1:25" ht="17.25" customHeight="1" x14ac:dyDescent="0.25">
      <c r="B79" s="105" t="s">
        <v>181</v>
      </c>
      <c r="C79" s="94">
        <f>+SUM(Hoja1!U4:W4)</f>
        <v>54</v>
      </c>
      <c r="D79" s="128">
        <f t="shared" ref="D79:O79" si="28">ROUND(($C$79*(1+$A$73)^(D77-$C$77)),0)</f>
        <v>54</v>
      </c>
      <c r="E79" s="128">
        <f t="shared" si="28"/>
        <v>54</v>
      </c>
      <c r="F79" s="189">
        <f t="shared" si="28"/>
        <v>54</v>
      </c>
      <c r="G79" s="124">
        <f t="shared" si="28"/>
        <v>54</v>
      </c>
      <c r="H79" s="124">
        <f t="shared" si="28"/>
        <v>54</v>
      </c>
      <c r="I79" s="124">
        <f t="shared" si="28"/>
        <v>54</v>
      </c>
      <c r="J79" s="124">
        <f t="shared" si="28"/>
        <v>54</v>
      </c>
      <c r="K79" s="124">
        <f t="shared" si="28"/>
        <v>54</v>
      </c>
      <c r="L79" s="124">
        <f t="shared" si="28"/>
        <v>54</v>
      </c>
      <c r="M79" s="124">
        <f t="shared" si="28"/>
        <v>54</v>
      </c>
      <c r="N79" s="124">
        <f t="shared" si="28"/>
        <v>54</v>
      </c>
      <c r="O79" s="124">
        <f t="shared" si="28"/>
        <v>54</v>
      </c>
    </row>
    <row r="80" spans="1:25" ht="18" customHeight="1" x14ac:dyDescent="0.25">
      <c r="B80" s="51" t="s">
        <v>182</v>
      </c>
      <c r="C80" s="94">
        <f>+SUM(Hoja1!X4:Y4)</f>
        <v>87</v>
      </c>
      <c r="D80" s="128">
        <f>ROUND(($C$80*(1+$A$73)^(D77-$C$77)),0)</f>
        <v>87</v>
      </c>
      <c r="E80" s="128">
        <f>ROUND(($C$80*(1+$A$73)^(E77-$C$77)),0)</f>
        <v>87</v>
      </c>
      <c r="F80" s="189">
        <f t="shared" ref="F80:O80" si="29">ROUND(($C$80*(1+$A$73)^(F77-$C$77)),0)</f>
        <v>87</v>
      </c>
      <c r="G80" s="124">
        <f t="shared" si="29"/>
        <v>87</v>
      </c>
      <c r="H80" s="124">
        <f t="shared" si="29"/>
        <v>87</v>
      </c>
      <c r="I80" s="124">
        <f t="shared" si="29"/>
        <v>87</v>
      </c>
      <c r="J80" s="124">
        <f t="shared" si="29"/>
        <v>87</v>
      </c>
      <c r="K80" s="124">
        <f t="shared" si="29"/>
        <v>87</v>
      </c>
      <c r="L80" s="124">
        <f t="shared" si="29"/>
        <v>87</v>
      </c>
      <c r="M80" s="124">
        <f t="shared" si="29"/>
        <v>87</v>
      </c>
      <c r="N80" s="124">
        <f t="shared" si="29"/>
        <v>87</v>
      </c>
      <c r="O80" s="124">
        <f t="shared" si="29"/>
        <v>87</v>
      </c>
    </row>
    <row r="81" spans="1:15" ht="17.25" customHeight="1" x14ac:dyDescent="0.25">
      <c r="B81" s="51" t="s">
        <v>183</v>
      </c>
      <c r="C81" s="94">
        <f>+SUM(Hoja1!Z4:AA4)</f>
        <v>66</v>
      </c>
      <c r="D81" s="128">
        <f t="shared" ref="D81:O81" si="30">ROUND(($C$81*(1+$A$73)^(D77-$C$77)),0)</f>
        <v>66</v>
      </c>
      <c r="E81" s="128">
        <f t="shared" si="30"/>
        <v>66</v>
      </c>
      <c r="F81" s="189">
        <f t="shared" si="30"/>
        <v>66</v>
      </c>
      <c r="G81" s="124">
        <f t="shared" si="30"/>
        <v>66</v>
      </c>
      <c r="H81" s="124">
        <f t="shared" si="30"/>
        <v>66</v>
      </c>
      <c r="I81" s="124">
        <f t="shared" si="30"/>
        <v>66</v>
      </c>
      <c r="J81" s="124">
        <f t="shared" si="30"/>
        <v>66</v>
      </c>
      <c r="K81" s="124">
        <f t="shared" si="30"/>
        <v>66</v>
      </c>
      <c r="L81" s="124">
        <f t="shared" si="30"/>
        <v>66</v>
      </c>
      <c r="M81" s="124">
        <f t="shared" si="30"/>
        <v>66</v>
      </c>
      <c r="N81" s="124">
        <f t="shared" si="30"/>
        <v>66</v>
      </c>
      <c r="O81" s="124">
        <f t="shared" si="30"/>
        <v>66</v>
      </c>
    </row>
    <row r="82" spans="1:15" ht="17.25" customHeight="1" x14ac:dyDescent="0.25">
      <c r="B82" s="51" t="s">
        <v>184</v>
      </c>
      <c r="C82" s="94">
        <f>+SUM(Hoja1!AB4:AC4)</f>
        <v>54</v>
      </c>
      <c r="D82" s="128">
        <f>ROUND(($C$82*(1+$A$73)^(D77-$C$77)),0)</f>
        <v>54</v>
      </c>
      <c r="E82" s="128">
        <f>ROUND(($C$82*(1+$A$73)^(E77-$C$77)),0)</f>
        <v>54</v>
      </c>
      <c r="F82" s="189">
        <f>ROUND(($C$82*(1+$A$73)^(F77-$C$77)),0)</f>
        <v>54</v>
      </c>
      <c r="G82" s="124">
        <f>ROUND(($C$82*(1+$A$73)^(G77-$C$77)),0)</f>
        <v>54</v>
      </c>
      <c r="H82" s="124">
        <f>ROUND(($C$82*(1+$A$73)^(H77-$C$77)),0)</f>
        <v>54</v>
      </c>
      <c r="I82" s="124">
        <f t="shared" ref="I82:O82" si="31">ROUND(($C$82*(1+$A$73)^(I77-$C$77)),0)</f>
        <v>54</v>
      </c>
      <c r="J82" s="124">
        <f t="shared" si="31"/>
        <v>54</v>
      </c>
      <c r="K82" s="124">
        <f t="shared" si="31"/>
        <v>54</v>
      </c>
      <c r="L82" s="124">
        <f t="shared" si="31"/>
        <v>54</v>
      </c>
      <c r="M82" s="124">
        <f t="shared" si="31"/>
        <v>54</v>
      </c>
      <c r="N82" s="124">
        <f t="shared" si="31"/>
        <v>54</v>
      </c>
      <c r="O82" s="124">
        <f t="shared" si="31"/>
        <v>54</v>
      </c>
    </row>
    <row r="83" spans="1:15" ht="17.25" customHeight="1" x14ac:dyDescent="0.25">
      <c r="B83" s="51" t="s">
        <v>185</v>
      </c>
      <c r="C83" s="94">
        <f>+SUM(Hoja1!AD4:AE4)</f>
        <v>46</v>
      </c>
      <c r="D83" s="128">
        <f t="shared" ref="D83:L83" si="32">ROUND(($C$83*(1+$A$73)^(D77-$C$77)),0)</f>
        <v>46</v>
      </c>
      <c r="E83" s="128">
        <f t="shared" si="32"/>
        <v>46</v>
      </c>
      <c r="F83" s="189">
        <f t="shared" si="32"/>
        <v>46</v>
      </c>
      <c r="G83" s="124">
        <f t="shared" si="32"/>
        <v>46</v>
      </c>
      <c r="H83" s="124">
        <f t="shared" si="32"/>
        <v>46</v>
      </c>
      <c r="I83" s="124">
        <f t="shared" si="32"/>
        <v>46</v>
      </c>
      <c r="J83" s="124">
        <f t="shared" si="32"/>
        <v>46</v>
      </c>
      <c r="K83" s="124">
        <f t="shared" si="32"/>
        <v>46</v>
      </c>
      <c r="L83" s="124">
        <f t="shared" si="32"/>
        <v>46</v>
      </c>
      <c r="M83" s="124">
        <f t="shared" ref="M83:O83" si="33">ROUND(($C$83*(1+$A$73)^(M77-$C$77)),0)</f>
        <v>46</v>
      </c>
      <c r="N83" s="124">
        <f t="shared" si="33"/>
        <v>46</v>
      </c>
      <c r="O83" s="124">
        <f t="shared" si="33"/>
        <v>46</v>
      </c>
    </row>
    <row r="84" spans="1:15" x14ac:dyDescent="0.25">
      <c r="B84" s="109" t="s">
        <v>186</v>
      </c>
      <c r="C84" s="96">
        <f>+SUM(Hoja1!AF4:AI4)</f>
        <v>57</v>
      </c>
      <c r="D84" s="128">
        <f>ROUND(($C$84*(1+$A$73)^(D77-$C$77)),0)</f>
        <v>57</v>
      </c>
      <c r="E84" s="128">
        <f t="shared" ref="E84:O84" si="34">ROUND(($C$84*(1+$A$73)^(E77-$C$77)),0)</f>
        <v>57</v>
      </c>
      <c r="F84" s="190">
        <f t="shared" si="34"/>
        <v>57</v>
      </c>
      <c r="G84" s="191">
        <f t="shared" si="34"/>
        <v>57</v>
      </c>
      <c r="H84" s="191">
        <f t="shared" si="34"/>
        <v>57</v>
      </c>
      <c r="I84" s="191">
        <f t="shared" si="34"/>
        <v>57</v>
      </c>
      <c r="J84" s="191">
        <f t="shared" si="34"/>
        <v>57</v>
      </c>
      <c r="K84" s="191">
        <f t="shared" si="34"/>
        <v>57</v>
      </c>
      <c r="L84" s="191">
        <f t="shared" si="34"/>
        <v>57</v>
      </c>
      <c r="M84" s="191">
        <f t="shared" si="34"/>
        <v>57</v>
      </c>
      <c r="N84" s="191">
        <f t="shared" si="34"/>
        <v>57</v>
      </c>
      <c r="O84" s="191">
        <f t="shared" si="34"/>
        <v>57</v>
      </c>
    </row>
    <row r="85" spans="1:15" s="112" customFormat="1" x14ac:dyDescent="0.25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</row>
    <row r="86" spans="1:15" s="112" customFormat="1" x14ac:dyDescent="0.25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</row>
    <row r="87" spans="1:15" x14ac:dyDescent="0.25">
      <c r="B87" s="252" t="s">
        <v>38</v>
      </c>
      <c r="C87" s="249" t="s">
        <v>143</v>
      </c>
      <c r="D87" s="250"/>
      <c r="E87" s="251"/>
      <c r="F87" s="255" t="s">
        <v>39</v>
      </c>
      <c r="G87" s="255"/>
      <c r="H87" s="255"/>
      <c r="I87" s="255"/>
      <c r="J87" s="255"/>
      <c r="K87" s="255"/>
      <c r="L87" s="255"/>
      <c r="M87" s="255"/>
      <c r="N87" s="255"/>
      <c r="O87" s="255"/>
    </row>
    <row r="88" spans="1:15" x14ac:dyDescent="0.25">
      <c r="B88" s="253"/>
      <c r="C88" s="239">
        <v>0</v>
      </c>
      <c r="D88" s="239"/>
      <c r="E88" s="239"/>
      <c r="F88" s="24">
        <v>1</v>
      </c>
      <c r="G88" s="25">
        <v>2</v>
      </c>
      <c r="H88" s="25">
        <v>3</v>
      </c>
      <c r="I88" s="25">
        <v>4</v>
      </c>
      <c r="J88" s="25">
        <v>5</v>
      </c>
      <c r="K88" s="25">
        <v>6</v>
      </c>
      <c r="L88" s="25">
        <v>7</v>
      </c>
      <c r="M88" s="25">
        <v>8</v>
      </c>
      <c r="N88" s="25">
        <v>9</v>
      </c>
      <c r="O88" s="24">
        <v>10</v>
      </c>
    </row>
    <row r="89" spans="1:15" x14ac:dyDescent="0.25">
      <c r="B89" s="254"/>
      <c r="C89" s="95">
        <f>+C77</f>
        <v>2024</v>
      </c>
      <c r="D89" s="95">
        <f t="shared" ref="D89:O89" si="35">+D77</f>
        <v>2025</v>
      </c>
      <c r="E89" s="95">
        <f t="shared" si="35"/>
        <v>2026</v>
      </c>
      <c r="F89" s="95">
        <f t="shared" si="35"/>
        <v>2027</v>
      </c>
      <c r="G89" s="95">
        <f t="shared" si="35"/>
        <v>2028</v>
      </c>
      <c r="H89" s="95">
        <f t="shared" si="35"/>
        <v>2029</v>
      </c>
      <c r="I89" s="95">
        <f t="shared" si="35"/>
        <v>2030</v>
      </c>
      <c r="J89" s="95">
        <f t="shared" si="35"/>
        <v>2031</v>
      </c>
      <c r="K89" s="95">
        <f t="shared" si="35"/>
        <v>2032</v>
      </c>
      <c r="L89" s="95">
        <f t="shared" si="35"/>
        <v>2033</v>
      </c>
      <c r="M89" s="95">
        <f t="shared" si="35"/>
        <v>2034</v>
      </c>
      <c r="N89" s="95">
        <f t="shared" si="35"/>
        <v>2035</v>
      </c>
      <c r="O89" s="95">
        <f t="shared" si="35"/>
        <v>2036</v>
      </c>
    </row>
    <row r="90" spans="1:15" x14ac:dyDescent="0.25">
      <c r="B90" s="28" t="s">
        <v>383</v>
      </c>
      <c r="C90" s="98">
        <f>+SUM(C91:C96)</f>
        <v>364</v>
      </c>
      <c r="D90" s="98">
        <f t="shared" ref="D90:O90" si="36">+SUM(D91:D96)</f>
        <v>364</v>
      </c>
      <c r="E90" s="98">
        <f t="shared" si="36"/>
        <v>364</v>
      </c>
      <c r="F90" s="106">
        <f t="shared" si="36"/>
        <v>364</v>
      </c>
      <c r="G90" s="106">
        <f t="shared" si="36"/>
        <v>364</v>
      </c>
      <c r="H90" s="106">
        <f t="shared" si="36"/>
        <v>364</v>
      </c>
      <c r="I90" s="106">
        <f t="shared" si="36"/>
        <v>364</v>
      </c>
      <c r="J90" s="106">
        <f t="shared" si="36"/>
        <v>364</v>
      </c>
      <c r="K90" s="106">
        <f t="shared" si="36"/>
        <v>364</v>
      </c>
      <c r="L90" s="106">
        <f t="shared" si="36"/>
        <v>364</v>
      </c>
      <c r="M90" s="106">
        <f t="shared" si="36"/>
        <v>364</v>
      </c>
      <c r="N90" s="106">
        <f t="shared" si="36"/>
        <v>364</v>
      </c>
      <c r="O90" s="106">
        <f t="shared" si="36"/>
        <v>364</v>
      </c>
    </row>
    <row r="91" spans="1:15" x14ac:dyDescent="0.25">
      <c r="B91" s="105" t="s">
        <v>181</v>
      </c>
      <c r="C91" s="94">
        <f>+SUM(Hoja1!U4:W4)</f>
        <v>54</v>
      </c>
      <c r="D91" s="128">
        <f>ROUND(($C$91*(1+$A$73)^(D89-$C$89)),0)</f>
        <v>54</v>
      </c>
      <c r="E91" s="128">
        <f>ROUND(($C$91*(1+$A$73)^(E89-$C$89)),0)</f>
        <v>54</v>
      </c>
      <c r="F91" s="192">
        <f>ROUND(($C$91*(1+$A$73)^(F89-$C$89)),0)</f>
        <v>54</v>
      </c>
      <c r="G91" s="193">
        <f t="shared" ref="G91:O91" si="37">ROUND(($C$91*(1+$A$73)^(G89-$C$89)),0)</f>
        <v>54</v>
      </c>
      <c r="H91" s="193">
        <f t="shared" si="37"/>
        <v>54</v>
      </c>
      <c r="I91" s="193">
        <f t="shared" si="37"/>
        <v>54</v>
      </c>
      <c r="J91" s="193">
        <f t="shared" si="37"/>
        <v>54</v>
      </c>
      <c r="K91" s="193">
        <f t="shared" si="37"/>
        <v>54</v>
      </c>
      <c r="L91" s="193">
        <f t="shared" si="37"/>
        <v>54</v>
      </c>
      <c r="M91" s="193">
        <f t="shared" si="37"/>
        <v>54</v>
      </c>
      <c r="N91" s="193">
        <f t="shared" si="37"/>
        <v>54</v>
      </c>
      <c r="O91" s="193">
        <f t="shared" si="37"/>
        <v>54</v>
      </c>
    </row>
    <row r="92" spans="1:15" x14ac:dyDescent="0.25">
      <c r="B92" s="51" t="s">
        <v>182</v>
      </c>
      <c r="C92" s="94">
        <f>+SUM(Hoja1!X4:Y4)</f>
        <v>87</v>
      </c>
      <c r="D92" s="128">
        <f>ROUND(($C$92*(1+$A$73)^(D89-$C$89)),0)</f>
        <v>87</v>
      </c>
      <c r="E92" s="128">
        <f t="shared" ref="E92:O92" si="38">ROUND(($C$92*(1+$A$73)^(E89-$C$89)),0)</f>
        <v>87</v>
      </c>
      <c r="F92" s="189">
        <f t="shared" si="38"/>
        <v>87</v>
      </c>
      <c r="G92" s="124">
        <f t="shared" si="38"/>
        <v>87</v>
      </c>
      <c r="H92" s="124">
        <f t="shared" si="38"/>
        <v>87</v>
      </c>
      <c r="I92" s="124">
        <f t="shared" si="38"/>
        <v>87</v>
      </c>
      <c r="J92" s="124">
        <f t="shared" si="38"/>
        <v>87</v>
      </c>
      <c r="K92" s="124">
        <f t="shared" si="38"/>
        <v>87</v>
      </c>
      <c r="L92" s="124">
        <f t="shared" si="38"/>
        <v>87</v>
      </c>
      <c r="M92" s="124">
        <f t="shared" si="38"/>
        <v>87</v>
      </c>
      <c r="N92" s="124">
        <f t="shared" si="38"/>
        <v>87</v>
      </c>
      <c r="O92" s="124">
        <f t="shared" si="38"/>
        <v>87</v>
      </c>
    </row>
    <row r="93" spans="1:15" x14ac:dyDescent="0.25">
      <c r="B93" s="51" t="s">
        <v>183</v>
      </c>
      <c r="C93" s="94">
        <f>+SUM(Hoja1!Z4:AA4)</f>
        <v>66</v>
      </c>
      <c r="D93" s="128">
        <f>ROUND(($C$93*(1+$A$73)^(D89-$C$89)),0)</f>
        <v>66</v>
      </c>
      <c r="E93" s="128">
        <f t="shared" ref="E93:O93" si="39">ROUND(($C$93*(1+$A$73)^(E89-$C$89)),0)</f>
        <v>66</v>
      </c>
      <c r="F93" s="189">
        <f t="shared" si="39"/>
        <v>66</v>
      </c>
      <c r="G93" s="124">
        <f t="shared" si="39"/>
        <v>66</v>
      </c>
      <c r="H93" s="124">
        <f t="shared" si="39"/>
        <v>66</v>
      </c>
      <c r="I93" s="124">
        <f t="shared" si="39"/>
        <v>66</v>
      </c>
      <c r="J93" s="124">
        <f t="shared" si="39"/>
        <v>66</v>
      </c>
      <c r="K93" s="124">
        <f t="shared" si="39"/>
        <v>66</v>
      </c>
      <c r="L93" s="124">
        <f t="shared" si="39"/>
        <v>66</v>
      </c>
      <c r="M93" s="124">
        <f t="shared" si="39"/>
        <v>66</v>
      </c>
      <c r="N93" s="124">
        <f t="shared" si="39"/>
        <v>66</v>
      </c>
      <c r="O93" s="124">
        <f t="shared" si="39"/>
        <v>66</v>
      </c>
    </row>
    <row r="94" spans="1:15" x14ac:dyDescent="0.25">
      <c r="B94" s="51" t="s">
        <v>184</v>
      </c>
      <c r="C94" s="94">
        <f>+SUM(Hoja1!AB4:AC4)</f>
        <v>54</v>
      </c>
      <c r="D94" s="128">
        <f>ROUND(($C$94*(1+$A$73)^(D89-$C$89)),0)</f>
        <v>54</v>
      </c>
      <c r="E94" s="128">
        <f t="shared" ref="E94:O94" si="40">ROUND(($C$94*(1+$A$73)^(E89-$C$89)),0)</f>
        <v>54</v>
      </c>
      <c r="F94" s="189">
        <f t="shared" si="40"/>
        <v>54</v>
      </c>
      <c r="G94" s="124">
        <f t="shared" si="40"/>
        <v>54</v>
      </c>
      <c r="H94" s="124">
        <f t="shared" si="40"/>
        <v>54</v>
      </c>
      <c r="I94" s="124">
        <f t="shared" si="40"/>
        <v>54</v>
      </c>
      <c r="J94" s="124">
        <f t="shared" si="40"/>
        <v>54</v>
      </c>
      <c r="K94" s="124">
        <f t="shared" si="40"/>
        <v>54</v>
      </c>
      <c r="L94" s="124">
        <f t="shared" si="40"/>
        <v>54</v>
      </c>
      <c r="M94" s="124">
        <f t="shared" si="40"/>
        <v>54</v>
      </c>
      <c r="N94" s="124">
        <f t="shared" si="40"/>
        <v>54</v>
      </c>
      <c r="O94" s="124">
        <f t="shared" si="40"/>
        <v>54</v>
      </c>
    </row>
    <row r="95" spans="1:15" x14ac:dyDescent="0.25">
      <c r="B95" s="51" t="s">
        <v>185</v>
      </c>
      <c r="C95" s="94">
        <f>+SUM(Hoja1!AD4:AE4)</f>
        <v>46</v>
      </c>
      <c r="D95" s="128">
        <f>ROUND(($C$95*(1+$A$73)^(D89-$C$89)),0)</f>
        <v>46</v>
      </c>
      <c r="E95" s="128">
        <f t="shared" ref="E95:O95" si="41">ROUND(($C$95*(1+$A$73)^(E89-$C$89)),0)</f>
        <v>46</v>
      </c>
      <c r="F95" s="189">
        <f t="shared" si="41"/>
        <v>46</v>
      </c>
      <c r="G95" s="124">
        <f t="shared" si="41"/>
        <v>46</v>
      </c>
      <c r="H95" s="124">
        <f t="shared" si="41"/>
        <v>46</v>
      </c>
      <c r="I95" s="124">
        <f t="shared" si="41"/>
        <v>46</v>
      </c>
      <c r="J95" s="124">
        <f t="shared" si="41"/>
        <v>46</v>
      </c>
      <c r="K95" s="124">
        <f t="shared" si="41"/>
        <v>46</v>
      </c>
      <c r="L95" s="124">
        <f t="shared" si="41"/>
        <v>46</v>
      </c>
      <c r="M95" s="124">
        <f t="shared" si="41"/>
        <v>46</v>
      </c>
      <c r="N95" s="124">
        <f t="shared" si="41"/>
        <v>46</v>
      </c>
      <c r="O95" s="124">
        <f t="shared" si="41"/>
        <v>46</v>
      </c>
    </row>
    <row r="96" spans="1:15" x14ac:dyDescent="0.25">
      <c r="B96" s="109" t="s">
        <v>186</v>
      </c>
      <c r="C96" s="96">
        <f>+SUM(Hoja1!AF4:AI4)</f>
        <v>57</v>
      </c>
      <c r="D96" s="118">
        <f t="shared" ref="D96:K96" si="42">ROUND(($C$96*(1+$A$73)^(D89-$C$89)),0)</f>
        <v>57</v>
      </c>
      <c r="E96" s="118">
        <f t="shared" si="42"/>
        <v>57</v>
      </c>
      <c r="F96" s="179">
        <f t="shared" si="42"/>
        <v>57</v>
      </c>
      <c r="G96" s="184">
        <f t="shared" si="42"/>
        <v>57</v>
      </c>
      <c r="H96" s="184">
        <f t="shared" si="42"/>
        <v>57</v>
      </c>
      <c r="I96" s="184">
        <f t="shared" si="42"/>
        <v>57</v>
      </c>
      <c r="J96" s="184">
        <f t="shared" si="42"/>
        <v>57</v>
      </c>
      <c r="K96" s="184">
        <f t="shared" si="42"/>
        <v>57</v>
      </c>
      <c r="L96" s="184">
        <f t="shared" ref="L96:O96" si="43">ROUND(($C$96*(1+$A$73)^(L89-$C$89)),0)</f>
        <v>57</v>
      </c>
      <c r="M96" s="184">
        <f t="shared" si="43"/>
        <v>57</v>
      </c>
      <c r="N96" s="184">
        <f t="shared" si="43"/>
        <v>57</v>
      </c>
      <c r="O96" s="184">
        <f t="shared" si="43"/>
        <v>57</v>
      </c>
    </row>
    <row r="97" spans="1:17" x14ac:dyDescent="0.25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</row>
    <row r="98" spans="1:17" x14ac:dyDescent="0.25">
      <c r="B98" s="252" t="s">
        <v>38</v>
      </c>
      <c r="C98" s="249" t="s">
        <v>143</v>
      </c>
      <c r="D98" s="250"/>
      <c r="E98" s="251"/>
      <c r="F98" s="255" t="s">
        <v>39</v>
      </c>
      <c r="G98" s="255"/>
      <c r="H98" s="255"/>
      <c r="I98" s="255"/>
      <c r="J98" s="255"/>
      <c r="K98" s="255"/>
      <c r="L98" s="255"/>
      <c r="M98" s="255"/>
      <c r="N98" s="255"/>
      <c r="O98" s="255"/>
    </row>
    <row r="99" spans="1:17" x14ac:dyDescent="0.25">
      <c r="B99" s="253"/>
      <c r="C99" s="239">
        <v>0</v>
      </c>
      <c r="D99" s="239"/>
      <c r="E99" s="239"/>
      <c r="F99" s="24">
        <v>1</v>
      </c>
      <c r="G99" s="25">
        <v>2</v>
      </c>
      <c r="H99" s="25">
        <v>3</v>
      </c>
      <c r="I99" s="25">
        <v>4</v>
      </c>
      <c r="J99" s="25">
        <v>5</v>
      </c>
      <c r="K99" s="25">
        <v>6</v>
      </c>
      <c r="L99" s="25">
        <v>7</v>
      </c>
      <c r="M99" s="25">
        <v>8</v>
      </c>
      <c r="N99" s="25">
        <v>9</v>
      </c>
      <c r="O99" s="24">
        <v>10</v>
      </c>
    </row>
    <row r="100" spans="1:17" x14ac:dyDescent="0.25">
      <c r="B100" s="254"/>
      <c r="C100" s="95">
        <f>+C89</f>
        <v>2024</v>
      </c>
      <c r="D100" s="95">
        <f t="shared" ref="D100:O100" si="44">+D89</f>
        <v>2025</v>
      </c>
      <c r="E100" s="95">
        <f t="shared" si="44"/>
        <v>2026</v>
      </c>
      <c r="F100" s="95">
        <f t="shared" si="44"/>
        <v>2027</v>
      </c>
      <c r="G100" s="95">
        <f t="shared" si="44"/>
        <v>2028</v>
      </c>
      <c r="H100" s="95">
        <f t="shared" si="44"/>
        <v>2029</v>
      </c>
      <c r="I100" s="95">
        <f t="shared" si="44"/>
        <v>2030</v>
      </c>
      <c r="J100" s="95">
        <f t="shared" si="44"/>
        <v>2031</v>
      </c>
      <c r="K100" s="95">
        <f t="shared" si="44"/>
        <v>2032</v>
      </c>
      <c r="L100" s="95">
        <f t="shared" si="44"/>
        <v>2033</v>
      </c>
      <c r="M100" s="95">
        <f t="shared" si="44"/>
        <v>2034</v>
      </c>
      <c r="N100" s="95">
        <f t="shared" si="44"/>
        <v>2035</v>
      </c>
      <c r="O100" s="95">
        <f t="shared" si="44"/>
        <v>2036</v>
      </c>
    </row>
    <row r="101" spans="1:17" x14ac:dyDescent="0.25">
      <c r="B101" s="28" t="s">
        <v>243</v>
      </c>
      <c r="C101" s="98">
        <f>+SUM(C102:C107)</f>
        <v>39</v>
      </c>
      <c r="D101" s="98">
        <f t="shared" ref="D101:O101" si="45">+SUM(D102:D107)</f>
        <v>39</v>
      </c>
      <c r="E101" s="98">
        <f t="shared" si="45"/>
        <v>39</v>
      </c>
      <c r="F101" s="98">
        <f t="shared" si="45"/>
        <v>39</v>
      </c>
      <c r="G101" s="98">
        <f t="shared" si="45"/>
        <v>39</v>
      </c>
      <c r="H101" s="98">
        <f t="shared" si="45"/>
        <v>39</v>
      </c>
      <c r="I101" s="98">
        <f t="shared" si="45"/>
        <v>39</v>
      </c>
      <c r="J101" s="98">
        <f t="shared" si="45"/>
        <v>39</v>
      </c>
      <c r="K101" s="98">
        <f t="shared" si="45"/>
        <v>39</v>
      </c>
      <c r="L101" s="98">
        <f t="shared" si="45"/>
        <v>39</v>
      </c>
      <c r="M101" s="98">
        <f t="shared" si="45"/>
        <v>39</v>
      </c>
      <c r="N101" s="98">
        <f t="shared" si="45"/>
        <v>39</v>
      </c>
      <c r="O101" s="98">
        <f t="shared" si="45"/>
        <v>39</v>
      </c>
    </row>
    <row r="102" spans="1:17" x14ac:dyDescent="0.25">
      <c r="B102" s="105" t="s">
        <v>187</v>
      </c>
      <c r="C102" s="94">
        <f>+Hoja1!O4</f>
        <v>7</v>
      </c>
      <c r="D102" s="128">
        <f>ROUND(($C$102*(1+$A$73)^(D100-$C$100)),0)</f>
        <v>7</v>
      </c>
      <c r="E102" s="128">
        <f t="shared" ref="E102:O102" si="46">ROUND(($C$102*(1+$A$73)^(E100-$C$100)),0)</f>
        <v>7</v>
      </c>
      <c r="F102" s="192">
        <f t="shared" si="46"/>
        <v>7</v>
      </c>
      <c r="G102" s="193">
        <f t="shared" si="46"/>
        <v>7</v>
      </c>
      <c r="H102" s="193">
        <f t="shared" si="46"/>
        <v>7</v>
      </c>
      <c r="I102" s="193">
        <f t="shared" si="46"/>
        <v>7</v>
      </c>
      <c r="J102" s="193">
        <f t="shared" si="46"/>
        <v>7</v>
      </c>
      <c r="K102" s="193">
        <f t="shared" si="46"/>
        <v>7</v>
      </c>
      <c r="L102" s="193">
        <f t="shared" si="46"/>
        <v>7</v>
      </c>
      <c r="M102" s="193">
        <f t="shared" si="46"/>
        <v>7</v>
      </c>
      <c r="N102" s="193">
        <f t="shared" si="46"/>
        <v>7</v>
      </c>
      <c r="O102" s="193">
        <f t="shared" si="46"/>
        <v>7</v>
      </c>
    </row>
    <row r="103" spans="1:17" x14ac:dyDescent="0.25">
      <c r="B103" s="51" t="s">
        <v>150</v>
      </c>
      <c r="C103" s="94">
        <f>+Hoja1!P4</f>
        <v>9</v>
      </c>
      <c r="D103" s="128">
        <f>ROUND(($C$103*(1+$A$73)^(D100-$C$100)),0)</f>
        <v>9</v>
      </c>
      <c r="E103" s="128">
        <f t="shared" ref="E103:O103" si="47">ROUND(($C$103*(1+$A$73)^(E100-$C$100)),0)</f>
        <v>9</v>
      </c>
      <c r="F103" s="189">
        <f t="shared" si="47"/>
        <v>9</v>
      </c>
      <c r="G103" s="124">
        <f t="shared" si="47"/>
        <v>9</v>
      </c>
      <c r="H103" s="124">
        <f t="shared" si="47"/>
        <v>9</v>
      </c>
      <c r="I103" s="124">
        <f t="shared" si="47"/>
        <v>9</v>
      </c>
      <c r="J103" s="124">
        <f t="shared" si="47"/>
        <v>9</v>
      </c>
      <c r="K103" s="124">
        <f t="shared" si="47"/>
        <v>9</v>
      </c>
      <c r="L103" s="124">
        <f t="shared" si="47"/>
        <v>9</v>
      </c>
      <c r="M103" s="124">
        <f t="shared" si="47"/>
        <v>9</v>
      </c>
      <c r="N103" s="124">
        <f t="shared" si="47"/>
        <v>9</v>
      </c>
      <c r="O103" s="124">
        <f t="shared" si="47"/>
        <v>9</v>
      </c>
    </row>
    <row r="104" spans="1:17" x14ac:dyDescent="0.25">
      <c r="B104" s="51" t="s">
        <v>188</v>
      </c>
      <c r="C104" s="94">
        <f>+Hoja1!Q4</f>
        <v>7</v>
      </c>
      <c r="D104" s="128">
        <f>ROUND(($C$104*(1+$A$73)^(D100-$C$100)),0)</f>
        <v>7</v>
      </c>
      <c r="E104" s="128">
        <f t="shared" ref="E104:O104" si="48">ROUND(($C$104*(1+$A$73)^(E100-$C$100)),0)</f>
        <v>7</v>
      </c>
      <c r="F104" s="189">
        <f t="shared" si="48"/>
        <v>7</v>
      </c>
      <c r="G104" s="124">
        <f t="shared" si="48"/>
        <v>7</v>
      </c>
      <c r="H104" s="124">
        <f t="shared" si="48"/>
        <v>7</v>
      </c>
      <c r="I104" s="124">
        <f t="shared" si="48"/>
        <v>7</v>
      </c>
      <c r="J104" s="124">
        <f t="shared" si="48"/>
        <v>7</v>
      </c>
      <c r="K104" s="124">
        <f t="shared" si="48"/>
        <v>7</v>
      </c>
      <c r="L104" s="124">
        <f t="shared" si="48"/>
        <v>7</v>
      </c>
      <c r="M104" s="124">
        <f t="shared" si="48"/>
        <v>7</v>
      </c>
      <c r="N104" s="124">
        <f t="shared" si="48"/>
        <v>7</v>
      </c>
      <c r="O104" s="124">
        <f t="shared" si="48"/>
        <v>7</v>
      </c>
    </row>
    <row r="105" spans="1:17" x14ac:dyDescent="0.25">
      <c r="B105" s="51" t="s">
        <v>189</v>
      </c>
      <c r="C105" s="94">
        <f>+Hoja1!R4</f>
        <v>5</v>
      </c>
      <c r="D105" s="128">
        <f>ROUND(($C$105*(1+$A$73)^(D100-$C$100)),0)</f>
        <v>5</v>
      </c>
      <c r="E105" s="128">
        <f>ROUND(($C$105*(1+$A$73)^(E100-$C$100)),0)</f>
        <v>5</v>
      </c>
      <c r="F105" s="189">
        <f>ROUND(($C$105*(1+$A$73)^(F100-$C$100)),0)</f>
        <v>5</v>
      </c>
      <c r="G105" s="124">
        <f t="shared" ref="G105:O105" si="49">ROUND(($C$105*(1+$A$73)^(G100-$C$100)),0)</f>
        <v>5</v>
      </c>
      <c r="H105" s="124">
        <f t="shared" si="49"/>
        <v>5</v>
      </c>
      <c r="I105" s="124">
        <f t="shared" si="49"/>
        <v>5</v>
      </c>
      <c r="J105" s="124">
        <f t="shared" si="49"/>
        <v>5</v>
      </c>
      <c r="K105" s="124">
        <f t="shared" si="49"/>
        <v>5</v>
      </c>
      <c r="L105" s="124">
        <f t="shared" si="49"/>
        <v>5</v>
      </c>
      <c r="M105" s="124">
        <f t="shared" si="49"/>
        <v>5</v>
      </c>
      <c r="N105" s="124">
        <f t="shared" si="49"/>
        <v>5</v>
      </c>
      <c r="O105" s="124">
        <f t="shared" si="49"/>
        <v>5</v>
      </c>
    </row>
    <row r="106" spans="1:17" x14ac:dyDescent="0.25">
      <c r="B106" s="51" t="s">
        <v>220</v>
      </c>
      <c r="C106" s="94">
        <f>+Hoja1!S4</f>
        <v>6</v>
      </c>
      <c r="D106" s="128">
        <f>ROUND(($C$106*(1+$A$73)^(D100-$C$100)),0)</f>
        <v>6</v>
      </c>
      <c r="E106" s="128">
        <f t="shared" ref="E106:O106" si="50">ROUND(($C$106*(1+$A$73)^(E100-$C$100)),0)</f>
        <v>6</v>
      </c>
      <c r="F106" s="189">
        <f t="shared" si="50"/>
        <v>6</v>
      </c>
      <c r="G106" s="124">
        <f t="shared" si="50"/>
        <v>6</v>
      </c>
      <c r="H106" s="124">
        <f t="shared" si="50"/>
        <v>6</v>
      </c>
      <c r="I106" s="124">
        <f t="shared" si="50"/>
        <v>6</v>
      </c>
      <c r="J106" s="124">
        <f t="shared" si="50"/>
        <v>6</v>
      </c>
      <c r="K106" s="124">
        <f t="shared" si="50"/>
        <v>6</v>
      </c>
      <c r="L106" s="124">
        <f t="shared" si="50"/>
        <v>6</v>
      </c>
      <c r="M106" s="124">
        <f t="shared" si="50"/>
        <v>6</v>
      </c>
      <c r="N106" s="124">
        <f t="shared" si="50"/>
        <v>6</v>
      </c>
      <c r="O106" s="124">
        <f t="shared" si="50"/>
        <v>6</v>
      </c>
    </row>
    <row r="107" spans="1:17" x14ac:dyDescent="0.25">
      <c r="B107" s="109" t="s">
        <v>221</v>
      </c>
      <c r="C107" s="96">
        <f>+Hoja1!T4</f>
        <v>5</v>
      </c>
      <c r="D107" s="118">
        <f t="shared" ref="D107:I107" si="51">ROUND(($C$107*(1+$A$73)^(D100-$C$100)),0)</f>
        <v>5</v>
      </c>
      <c r="E107" s="118">
        <f t="shared" si="51"/>
        <v>5</v>
      </c>
      <c r="F107" s="179">
        <f t="shared" si="51"/>
        <v>5</v>
      </c>
      <c r="G107" s="184">
        <f t="shared" si="51"/>
        <v>5</v>
      </c>
      <c r="H107" s="184">
        <f t="shared" si="51"/>
        <v>5</v>
      </c>
      <c r="I107" s="184">
        <f t="shared" si="51"/>
        <v>5</v>
      </c>
      <c r="J107" s="184">
        <f t="shared" ref="J107:O107" si="52">ROUND(($C$107*(1+$A$73)^(J100-$C$100)),0)</f>
        <v>5</v>
      </c>
      <c r="K107" s="184">
        <f t="shared" si="52"/>
        <v>5</v>
      </c>
      <c r="L107" s="184">
        <f t="shared" si="52"/>
        <v>5</v>
      </c>
      <c r="M107" s="184">
        <f t="shared" si="52"/>
        <v>5</v>
      </c>
      <c r="N107" s="184">
        <f t="shared" si="52"/>
        <v>5</v>
      </c>
      <c r="O107" s="184">
        <f t="shared" si="52"/>
        <v>5</v>
      </c>
    </row>
    <row r="108" spans="1:17" x14ac:dyDescent="0.25">
      <c r="A108" s="256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</row>
    <row r="109" spans="1:17" s="112" customFormat="1" ht="12" customHeight="1" x14ac:dyDescent="0.25">
      <c r="B109" s="239" t="s">
        <v>24</v>
      </c>
      <c r="C109" s="20" t="s">
        <v>69</v>
      </c>
      <c r="D109" s="20"/>
      <c r="E109" s="20" t="s">
        <v>143</v>
      </c>
      <c r="F109" s="255" t="s">
        <v>39</v>
      </c>
      <c r="G109" s="255"/>
      <c r="H109" s="255"/>
      <c r="I109" s="255"/>
      <c r="J109" s="255"/>
      <c r="K109" s="255"/>
      <c r="L109" s="255"/>
      <c r="M109" s="255"/>
      <c r="N109" s="255"/>
      <c r="O109" s="255"/>
    </row>
    <row r="110" spans="1:17" s="112" customFormat="1" ht="12" customHeight="1" x14ac:dyDescent="0.25">
      <c r="B110" s="239"/>
      <c r="C110" s="259">
        <v>0</v>
      </c>
      <c r="D110" s="260"/>
      <c r="E110" s="261"/>
      <c r="F110" s="24">
        <v>1</v>
      </c>
      <c r="G110" s="24">
        <v>2</v>
      </c>
      <c r="H110" s="24">
        <v>3</v>
      </c>
      <c r="I110" s="24">
        <v>4</v>
      </c>
      <c r="J110" s="24">
        <v>5</v>
      </c>
      <c r="K110" s="24">
        <v>6</v>
      </c>
      <c r="L110" s="24">
        <v>7</v>
      </c>
      <c r="M110" s="24">
        <v>8</v>
      </c>
      <c r="N110" s="24">
        <v>9</v>
      </c>
      <c r="O110" s="24">
        <v>10</v>
      </c>
    </row>
    <row r="111" spans="1:17" s="112" customFormat="1" ht="12" customHeight="1" x14ac:dyDescent="0.25">
      <c r="B111" s="239"/>
      <c r="C111" s="20">
        <v>2024</v>
      </c>
      <c r="D111" s="20">
        <v>2025</v>
      </c>
      <c r="E111" s="20">
        <v>2026</v>
      </c>
      <c r="F111" s="20">
        <v>2027</v>
      </c>
      <c r="G111" s="20">
        <v>2028</v>
      </c>
      <c r="H111" s="20">
        <v>2029</v>
      </c>
      <c r="I111" s="20">
        <v>2030</v>
      </c>
      <c r="J111" s="20">
        <v>2031</v>
      </c>
      <c r="K111" s="20">
        <v>2032</v>
      </c>
      <c r="L111" s="20">
        <v>2033</v>
      </c>
      <c r="M111" s="20">
        <v>2034</v>
      </c>
      <c r="N111" s="20">
        <v>2035</v>
      </c>
      <c r="O111" s="20">
        <v>2036</v>
      </c>
    </row>
    <row r="112" spans="1:17" s="112" customFormat="1" ht="12" customHeight="1" x14ac:dyDescent="0.25">
      <c r="B112" s="115" t="s">
        <v>190</v>
      </c>
      <c r="C112" s="97">
        <f>SUM(C113:C118)</f>
        <v>364</v>
      </c>
      <c r="D112" s="97">
        <f t="shared" ref="D112:O112" si="53">SUM(D113:D118)</f>
        <v>364</v>
      </c>
      <c r="E112" s="97">
        <f t="shared" si="53"/>
        <v>364</v>
      </c>
      <c r="F112" s="97">
        <f t="shared" si="53"/>
        <v>364</v>
      </c>
      <c r="G112" s="97">
        <f t="shared" si="53"/>
        <v>364</v>
      </c>
      <c r="H112" s="97">
        <f t="shared" si="53"/>
        <v>364</v>
      </c>
      <c r="I112" s="97">
        <f t="shared" si="53"/>
        <v>364</v>
      </c>
      <c r="J112" s="97">
        <f t="shared" si="53"/>
        <v>364</v>
      </c>
      <c r="K112" s="97">
        <f t="shared" si="53"/>
        <v>364</v>
      </c>
      <c r="L112" s="97">
        <f t="shared" si="53"/>
        <v>364</v>
      </c>
      <c r="M112" s="97">
        <f t="shared" si="53"/>
        <v>364</v>
      </c>
      <c r="N112" s="97">
        <f t="shared" si="53"/>
        <v>364</v>
      </c>
      <c r="O112" s="97">
        <f t="shared" si="53"/>
        <v>364</v>
      </c>
    </row>
    <row r="113" spans="1:22" s="112" customFormat="1" ht="12" customHeight="1" x14ac:dyDescent="0.25">
      <c r="B113" s="105" t="s">
        <v>181</v>
      </c>
      <c r="C113" s="96">
        <f>+SUM(Hoja1!U4:W4)</f>
        <v>54</v>
      </c>
      <c r="D113" s="118">
        <f>+ROUND(($C$113*(1+$A$73)^(D111-$C$111)),0)</f>
        <v>54</v>
      </c>
      <c r="E113" s="118">
        <f t="shared" ref="E113:O113" si="54">+ROUND(($C$113*(1+$A$73)^(E111-$C$111)),0)</f>
        <v>54</v>
      </c>
      <c r="F113" s="187">
        <f t="shared" si="54"/>
        <v>54</v>
      </c>
      <c r="G113" s="186">
        <f t="shared" si="54"/>
        <v>54</v>
      </c>
      <c r="H113" s="186">
        <f t="shared" si="54"/>
        <v>54</v>
      </c>
      <c r="I113" s="186">
        <f t="shared" si="54"/>
        <v>54</v>
      </c>
      <c r="J113" s="186">
        <f t="shared" si="54"/>
        <v>54</v>
      </c>
      <c r="K113" s="186">
        <f t="shared" si="54"/>
        <v>54</v>
      </c>
      <c r="L113" s="186">
        <f t="shared" si="54"/>
        <v>54</v>
      </c>
      <c r="M113" s="186">
        <f t="shared" si="54"/>
        <v>54</v>
      </c>
      <c r="N113" s="186">
        <f t="shared" si="54"/>
        <v>54</v>
      </c>
      <c r="O113" s="186">
        <f t="shared" si="54"/>
        <v>54</v>
      </c>
    </row>
    <row r="114" spans="1:22" s="112" customFormat="1" ht="12" customHeight="1" x14ac:dyDescent="0.25">
      <c r="B114" s="51" t="s">
        <v>182</v>
      </c>
      <c r="C114" s="96">
        <f>+SUM(Hoja1!X4:Y4)</f>
        <v>87</v>
      </c>
      <c r="D114" s="118">
        <f>+ROUND(($C$114*(1+$A$73)^(D111-$C$111)),0)</f>
        <v>87</v>
      </c>
      <c r="E114" s="118">
        <f>+ROUND(($C$114*(1+$A$73)^(E111-$C$111)),0)</f>
        <v>87</v>
      </c>
      <c r="F114" s="185">
        <f t="shared" ref="F114:O114" si="55">+ROUND(($C$114*(1+$A$73)^(F111-$C$111)),0)</f>
        <v>87</v>
      </c>
      <c r="G114" s="122">
        <f t="shared" si="55"/>
        <v>87</v>
      </c>
      <c r="H114" s="122">
        <f t="shared" si="55"/>
        <v>87</v>
      </c>
      <c r="I114" s="122">
        <f t="shared" si="55"/>
        <v>87</v>
      </c>
      <c r="J114" s="122">
        <f t="shared" si="55"/>
        <v>87</v>
      </c>
      <c r="K114" s="122">
        <f t="shared" si="55"/>
        <v>87</v>
      </c>
      <c r="L114" s="122">
        <f t="shared" si="55"/>
        <v>87</v>
      </c>
      <c r="M114" s="122">
        <f t="shared" si="55"/>
        <v>87</v>
      </c>
      <c r="N114" s="122">
        <f t="shared" si="55"/>
        <v>87</v>
      </c>
      <c r="O114" s="122">
        <f t="shared" si="55"/>
        <v>87</v>
      </c>
    </row>
    <row r="115" spans="1:22" s="112" customFormat="1" ht="12" customHeight="1" x14ac:dyDescent="0.25">
      <c r="B115" s="51" t="s">
        <v>183</v>
      </c>
      <c r="C115" s="96">
        <f>+SUM(Hoja1!Z4:AA4)</f>
        <v>66</v>
      </c>
      <c r="D115" s="118">
        <f>+ROUND(($C$115*(1+$A$73)^(D111-$C$111)),0)</f>
        <v>66</v>
      </c>
      <c r="E115" s="118">
        <f>+ROUND(($C$115*(1+$A$73)^(E111-$C$111)),0)</f>
        <v>66</v>
      </c>
      <c r="F115" s="185">
        <f t="shared" ref="F115:O115" si="56">+ROUND(($C$115*(1+$A$73)^(F111-$C$111)),0)</f>
        <v>66</v>
      </c>
      <c r="G115" s="122">
        <f t="shared" si="56"/>
        <v>66</v>
      </c>
      <c r="H115" s="122">
        <f t="shared" si="56"/>
        <v>66</v>
      </c>
      <c r="I115" s="122">
        <f t="shared" si="56"/>
        <v>66</v>
      </c>
      <c r="J115" s="122">
        <f t="shared" si="56"/>
        <v>66</v>
      </c>
      <c r="K115" s="122">
        <f t="shared" si="56"/>
        <v>66</v>
      </c>
      <c r="L115" s="122">
        <f t="shared" si="56"/>
        <v>66</v>
      </c>
      <c r="M115" s="122">
        <f t="shared" si="56"/>
        <v>66</v>
      </c>
      <c r="N115" s="122">
        <f t="shared" si="56"/>
        <v>66</v>
      </c>
      <c r="O115" s="122">
        <f t="shared" si="56"/>
        <v>66</v>
      </c>
    </row>
    <row r="116" spans="1:22" s="112" customFormat="1" ht="12" customHeight="1" x14ac:dyDescent="0.25">
      <c r="B116" s="51" t="s">
        <v>184</v>
      </c>
      <c r="C116" s="96">
        <f>+SUM(Hoja1!AB4:AC4)</f>
        <v>54</v>
      </c>
      <c r="D116" s="118">
        <f>+ROUND(($C$116*(1+$A$73)^(D111-$C$111)),0)</f>
        <v>54</v>
      </c>
      <c r="E116" s="118">
        <f t="shared" ref="E116:O116" si="57">+ROUND(($C$116*(1+$A$73)^(E111-$C$111)),0)</f>
        <v>54</v>
      </c>
      <c r="F116" s="185">
        <f t="shared" si="57"/>
        <v>54</v>
      </c>
      <c r="G116" s="122">
        <f t="shared" si="57"/>
        <v>54</v>
      </c>
      <c r="H116" s="122">
        <f t="shared" si="57"/>
        <v>54</v>
      </c>
      <c r="I116" s="122">
        <f t="shared" si="57"/>
        <v>54</v>
      </c>
      <c r="J116" s="122">
        <f t="shared" si="57"/>
        <v>54</v>
      </c>
      <c r="K116" s="122">
        <f t="shared" si="57"/>
        <v>54</v>
      </c>
      <c r="L116" s="122">
        <f t="shared" si="57"/>
        <v>54</v>
      </c>
      <c r="M116" s="122">
        <f t="shared" si="57"/>
        <v>54</v>
      </c>
      <c r="N116" s="122">
        <f t="shared" si="57"/>
        <v>54</v>
      </c>
      <c r="O116" s="122">
        <f t="shared" si="57"/>
        <v>54</v>
      </c>
    </row>
    <row r="117" spans="1:22" s="112" customFormat="1" ht="12" customHeight="1" x14ac:dyDescent="0.25">
      <c r="B117" s="51" t="s">
        <v>185</v>
      </c>
      <c r="C117" s="96">
        <f>+SUM(Hoja1!AD4:AE4)</f>
        <v>46</v>
      </c>
      <c r="D117" s="118">
        <f>+ROUND(($C$117*(1+$A$73)^(D111-$C$111)),0)</f>
        <v>46</v>
      </c>
      <c r="E117" s="118">
        <f>+ROUND(($C$117*(1+$A$73)^(E111-$C$111)),0)</f>
        <v>46</v>
      </c>
      <c r="F117" s="185">
        <f>+ROUND(($C$117*(1+$A$73)^(F111-$C$111)),0)</f>
        <v>46</v>
      </c>
      <c r="G117" s="122">
        <f t="shared" ref="G117:O117" si="58">+ROUND(($C$117*(1+$A$73)^(G111-$C$111)),0)</f>
        <v>46</v>
      </c>
      <c r="H117" s="122">
        <f t="shared" si="58"/>
        <v>46</v>
      </c>
      <c r="I117" s="122">
        <f t="shared" si="58"/>
        <v>46</v>
      </c>
      <c r="J117" s="122">
        <f t="shared" si="58"/>
        <v>46</v>
      </c>
      <c r="K117" s="122">
        <f t="shared" si="58"/>
        <v>46</v>
      </c>
      <c r="L117" s="122">
        <f t="shared" si="58"/>
        <v>46</v>
      </c>
      <c r="M117" s="122">
        <f t="shared" si="58"/>
        <v>46</v>
      </c>
      <c r="N117" s="122">
        <f t="shared" si="58"/>
        <v>46</v>
      </c>
      <c r="O117" s="122">
        <f t="shared" si="58"/>
        <v>46</v>
      </c>
    </row>
    <row r="118" spans="1:22" s="112" customFormat="1" ht="12" customHeight="1" x14ac:dyDescent="0.25">
      <c r="B118" s="109" t="s">
        <v>186</v>
      </c>
      <c r="C118" s="107">
        <f>+SUM(Hoja1!AF4:AI4)</f>
        <v>57</v>
      </c>
      <c r="D118" s="179">
        <f>+ROUND(($C$118*(1+$A$73)^(D111-$C$111)),0)</f>
        <v>57</v>
      </c>
      <c r="E118" s="179">
        <f>+ROUND(($C$118*(1+$A$73)^(E111-$C$111)),0)</f>
        <v>57</v>
      </c>
      <c r="F118" s="179">
        <f t="shared" ref="F118:O118" si="59">+ROUND(($C$118*(1+$A$73)^(F111-$C$111)),0)</f>
        <v>57</v>
      </c>
      <c r="G118" s="184">
        <f t="shared" si="59"/>
        <v>57</v>
      </c>
      <c r="H118" s="184">
        <f t="shared" si="59"/>
        <v>57</v>
      </c>
      <c r="I118" s="184">
        <f t="shared" si="59"/>
        <v>57</v>
      </c>
      <c r="J118" s="184">
        <f t="shared" si="59"/>
        <v>57</v>
      </c>
      <c r="K118" s="184">
        <f t="shared" si="59"/>
        <v>57</v>
      </c>
      <c r="L118" s="184">
        <f t="shared" si="59"/>
        <v>57</v>
      </c>
      <c r="M118" s="184">
        <f t="shared" si="59"/>
        <v>57</v>
      </c>
      <c r="N118" s="184">
        <f t="shared" si="59"/>
        <v>57</v>
      </c>
      <c r="O118" s="184">
        <f t="shared" si="59"/>
        <v>57</v>
      </c>
    </row>
    <row r="119" spans="1:22" x14ac:dyDescent="0.25">
      <c r="A119" s="256"/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</row>
    <row r="120" spans="1:22" x14ac:dyDescent="0.25">
      <c r="B120" s="252" t="s">
        <v>38</v>
      </c>
      <c r="C120" s="249" t="s">
        <v>143</v>
      </c>
      <c r="D120" s="250"/>
      <c r="E120" s="251"/>
      <c r="F120" s="255" t="s">
        <v>39</v>
      </c>
      <c r="G120" s="255"/>
      <c r="H120" s="255"/>
      <c r="I120" s="255"/>
      <c r="J120" s="255"/>
      <c r="K120" s="255"/>
      <c r="L120" s="255"/>
      <c r="M120" s="255"/>
      <c r="N120" s="255"/>
      <c r="O120" s="255"/>
    </row>
    <row r="121" spans="1:22" x14ac:dyDescent="0.25">
      <c r="B121" s="253"/>
      <c r="C121" s="239">
        <v>0</v>
      </c>
      <c r="D121" s="239"/>
      <c r="E121" s="239"/>
      <c r="F121" s="24">
        <v>1</v>
      </c>
      <c r="G121" s="25">
        <v>2</v>
      </c>
      <c r="H121" s="25">
        <v>3</v>
      </c>
      <c r="I121" s="25">
        <v>4</v>
      </c>
      <c r="J121" s="25">
        <v>5</v>
      </c>
      <c r="K121" s="25">
        <v>6</v>
      </c>
      <c r="L121" s="25">
        <v>7</v>
      </c>
      <c r="M121" s="25">
        <v>8</v>
      </c>
      <c r="N121" s="25">
        <v>9</v>
      </c>
      <c r="O121" s="24">
        <v>10</v>
      </c>
    </row>
    <row r="122" spans="1:22" x14ac:dyDescent="0.25">
      <c r="B122" s="254"/>
      <c r="C122" s="95">
        <f t="shared" ref="C122:O122" si="60">+C100</f>
        <v>2024</v>
      </c>
      <c r="D122" s="95">
        <f t="shared" si="60"/>
        <v>2025</v>
      </c>
      <c r="E122" s="95">
        <f t="shared" si="60"/>
        <v>2026</v>
      </c>
      <c r="F122" s="95">
        <f t="shared" si="60"/>
        <v>2027</v>
      </c>
      <c r="G122" s="95">
        <f t="shared" si="60"/>
        <v>2028</v>
      </c>
      <c r="H122" s="95">
        <f t="shared" si="60"/>
        <v>2029</v>
      </c>
      <c r="I122" s="95">
        <f t="shared" si="60"/>
        <v>2030</v>
      </c>
      <c r="J122" s="95">
        <f t="shared" si="60"/>
        <v>2031</v>
      </c>
      <c r="K122" s="95">
        <f t="shared" si="60"/>
        <v>2032</v>
      </c>
      <c r="L122" s="95">
        <f t="shared" si="60"/>
        <v>2033</v>
      </c>
      <c r="M122" s="95">
        <f t="shared" si="60"/>
        <v>2034</v>
      </c>
      <c r="N122" s="95">
        <f t="shared" si="60"/>
        <v>2035</v>
      </c>
      <c r="O122" s="95">
        <f t="shared" si="60"/>
        <v>2036</v>
      </c>
    </row>
    <row r="123" spans="1:22" ht="25.5" x14ac:dyDescent="0.25">
      <c r="B123" s="28" t="s">
        <v>387</v>
      </c>
      <c r="C123" s="98">
        <f>+SUM(C124:C129)</f>
        <v>364</v>
      </c>
      <c r="D123" s="98">
        <f>+SUM(D124:D129)</f>
        <v>364</v>
      </c>
      <c r="E123" s="98">
        <f t="shared" ref="E123:O123" si="61">+SUM(E124:E129)</f>
        <v>364</v>
      </c>
      <c r="F123" s="106">
        <f t="shared" si="61"/>
        <v>364</v>
      </c>
      <c r="G123" s="106">
        <f t="shared" si="61"/>
        <v>364</v>
      </c>
      <c r="H123" s="106">
        <f t="shared" si="61"/>
        <v>364</v>
      </c>
      <c r="I123" s="106">
        <f t="shared" si="61"/>
        <v>364</v>
      </c>
      <c r="J123" s="106">
        <f t="shared" si="61"/>
        <v>364</v>
      </c>
      <c r="K123" s="106">
        <f t="shared" si="61"/>
        <v>364</v>
      </c>
      <c r="L123" s="106">
        <f t="shared" si="61"/>
        <v>364</v>
      </c>
      <c r="M123" s="106">
        <f t="shared" si="61"/>
        <v>364</v>
      </c>
      <c r="N123" s="106">
        <f t="shared" si="61"/>
        <v>364</v>
      </c>
      <c r="O123" s="106">
        <f t="shared" si="61"/>
        <v>364</v>
      </c>
    </row>
    <row r="124" spans="1:22" x14ac:dyDescent="0.25">
      <c r="B124" s="105" t="s">
        <v>181</v>
      </c>
      <c r="C124" s="94">
        <f>+SUM(Hoja1!U4:W4)</f>
        <v>54</v>
      </c>
      <c r="D124" s="128">
        <f>+ROUND(($C$124*(1+$A$73)^(D122-$C$122)),0)</f>
        <v>54</v>
      </c>
      <c r="E124" s="128">
        <f t="shared" ref="E124:O124" si="62">+ROUND(($C$124*(1+$A$73)^(E122-$C$122)),0)</f>
        <v>54</v>
      </c>
      <c r="F124" s="192">
        <f>+ROUND(($C$124*(1+$A$73)^(F122-$C$122)),0)</f>
        <v>54</v>
      </c>
      <c r="G124" s="193">
        <f>+ROUND(($C$124*(1+$A$73)^(G122-$C$122)),0)</f>
        <v>54</v>
      </c>
      <c r="H124" s="193">
        <f t="shared" si="62"/>
        <v>54</v>
      </c>
      <c r="I124" s="193">
        <f t="shared" si="62"/>
        <v>54</v>
      </c>
      <c r="J124" s="193">
        <f t="shared" si="62"/>
        <v>54</v>
      </c>
      <c r="K124" s="193">
        <f t="shared" si="62"/>
        <v>54</v>
      </c>
      <c r="L124" s="193">
        <f t="shared" si="62"/>
        <v>54</v>
      </c>
      <c r="M124" s="193">
        <f t="shared" si="62"/>
        <v>54</v>
      </c>
      <c r="N124" s="193">
        <f t="shared" si="62"/>
        <v>54</v>
      </c>
      <c r="O124" s="193">
        <f t="shared" si="62"/>
        <v>54</v>
      </c>
    </row>
    <row r="125" spans="1:22" x14ac:dyDescent="0.25">
      <c r="B125" s="51" t="s">
        <v>182</v>
      </c>
      <c r="C125" s="94">
        <f>+SUM(Hoja1!X4:Y4)</f>
        <v>87</v>
      </c>
      <c r="D125" s="128">
        <f>+ROUND(($C$125*(1+$A$73)^(D122-$C$122)),0)</f>
        <v>87</v>
      </c>
      <c r="E125" s="128">
        <f t="shared" ref="E125:O125" si="63">+ROUND(($C$125*(1+$A$73)^(E122-$C$122)),0)</f>
        <v>87</v>
      </c>
      <c r="F125" s="189">
        <f t="shared" si="63"/>
        <v>87</v>
      </c>
      <c r="G125" s="124">
        <f t="shared" si="63"/>
        <v>87</v>
      </c>
      <c r="H125" s="124">
        <f t="shared" si="63"/>
        <v>87</v>
      </c>
      <c r="I125" s="124">
        <f t="shared" si="63"/>
        <v>87</v>
      </c>
      <c r="J125" s="124">
        <f t="shared" si="63"/>
        <v>87</v>
      </c>
      <c r="K125" s="124">
        <f t="shared" si="63"/>
        <v>87</v>
      </c>
      <c r="L125" s="124">
        <f t="shared" si="63"/>
        <v>87</v>
      </c>
      <c r="M125" s="124">
        <f t="shared" si="63"/>
        <v>87</v>
      </c>
      <c r="N125" s="124">
        <f t="shared" si="63"/>
        <v>87</v>
      </c>
      <c r="O125" s="124">
        <f t="shared" si="63"/>
        <v>87</v>
      </c>
    </row>
    <row r="126" spans="1:22" x14ac:dyDescent="0.25">
      <c r="B126" s="51" t="s">
        <v>183</v>
      </c>
      <c r="C126" s="94">
        <f>+SUM(Hoja1!Z4:AA4)</f>
        <v>66</v>
      </c>
      <c r="D126" s="128">
        <f>+ROUND(($C$126*(1+$A$73)^(D122-$C$122)),0)</f>
        <v>66</v>
      </c>
      <c r="E126" s="128">
        <f t="shared" ref="E126:O126" si="64">+ROUND(($C$126*(1+$A$73)^(E122-$C$122)),0)</f>
        <v>66</v>
      </c>
      <c r="F126" s="189">
        <f t="shared" si="64"/>
        <v>66</v>
      </c>
      <c r="G126" s="124">
        <f t="shared" si="64"/>
        <v>66</v>
      </c>
      <c r="H126" s="124">
        <f t="shared" si="64"/>
        <v>66</v>
      </c>
      <c r="I126" s="124">
        <f t="shared" si="64"/>
        <v>66</v>
      </c>
      <c r="J126" s="124">
        <f t="shared" si="64"/>
        <v>66</v>
      </c>
      <c r="K126" s="124">
        <f t="shared" si="64"/>
        <v>66</v>
      </c>
      <c r="L126" s="124">
        <f t="shared" si="64"/>
        <v>66</v>
      </c>
      <c r="M126" s="124">
        <f t="shared" si="64"/>
        <v>66</v>
      </c>
      <c r="N126" s="124">
        <f t="shared" si="64"/>
        <v>66</v>
      </c>
      <c r="O126" s="124">
        <f t="shared" si="64"/>
        <v>66</v>
      </c>
    </row>
    <row r="127" spans="1:22" x14ac:dyDescent="0.25">
      <c r="B127" s="51" t="s">
        <v>184</v>
      </c>
      <c r="C127" s="94">
        <f>+SUM(Hoja1!AB4:AC4)</f>
        <v>54</v>
      </c>
      <c r="D127" s="128">
        <f>+ROUND(($C$127*(1+$A$73)^(D122-$C$122)),0)</f>
        <v>54</v>
      </c>
      <c r="E127" s="128">
        <f t="shared" ref="E127:O127" si="65">+ROUND(($C$127*(1+$A$73)^(E122-$C$122)),0)</f>
        <v>54</v>
      </c>
      <c r="F127" s="189">
        <f t="shared" si="65"/>
        <v>54</v>
      </c>
      <c r="G127" s="124">
        <f t="shared" si="65"/>
        <v>54</v>
      </c>
      <c r="H127" s="124">
        <f t="shared" si="65"/>
        <v>54</v>
      </c>
      <c r="I127" s="124">
        <f t="shared" si="65"/>
        <v>54</v>
      </c>
      <c r="J127" s="124">
        <f t="shared" si="65"/>
        <v>54</v>
      </c>
      <c r="K127" s="124">
        <f t="shared" si="65"/>
        <v>54</v>
      </c>
      <c r="L127" s="124">
        <f t="shared" si="65"/>
        <v>54</v>
      </c>
      <c r="M127" s="124">
        <f t="shared" si="65"/>
        <v>54</v>
      </c>
      <c r="N127" s="124">
        <f t="shared" si="65"/>
        <v>54</v>
      </c>
      <c r="O127" s="124">
        <f t="shared" si="65"/>
        <v>54</v>
      </c>
    </row>
    <row r="128" spans="1:22" x14ac:dyDescent="0.25">
      <c r="B128" s="51" t="s">
        <v>185</v>
      </c>
      <c r="C128" s="94">
        <f>+SUM(Hoja1!AD4:AE4)</f>
        <v>46</v>
      </c>
      <c r="D128" s="128">
        <f>+ROUND(($C$128*(1+$A$73)^(D122-$C$122)),0)</f>
        <v>46</v>
      </c>
      <c r="E128" s="128">
        <f t="shared" ref="E128:O128" si="66">+ROUND(($C$128*(1+$A$73)^(E122-$C$122)),0)</f>
        <v>46</v>
      </c>
      <c r="F128" s="189">
        <f t="shared" si="66"/>
        <v>46</v>
      </c>
      <c r="G128" s="124">
        <f t="shared" si="66"/>
        <v>46</v>
      </c>
      <c r="H128" s="124">
        <f t="shared" si="66"/>
        <v>46</v>
      </c>
      <c r="I128" s="124">
        <f t="shared" si="66"/>
        <v>46</v>
      </c>
      <c r="J128" s="124">
        <f t="shared" si="66"/>
        <v>46</v>
      </c>
      <c r="K128" s="124">
        <f t="shared" si="66"/>
        <v>46</v>
      </c>
      <c r="L128" s="124">
        <f t="shared" si="66"/>
        <v>46</v>
      </c>
      <c r="M128" s="124">
        <f t="shared" si="66"/>
        <v>46</v>
      </c>
      <c r="N128" s="124">
        <f t="shared" si="66"/>
        <v>46</v>
      </c>
      <c r="O128" s="124">
        <f t="shared" si="66"/>
        <v>46</v>
      </c>
    </row>
    <row r="129" spans="1:16" x14ac:dyDescent="0.25">
      <c r="B129" s="109" t="s">
        <v>186</v>
      </c>
      <c r="C129" s="94">
        <f>+SUM(Hoja1!AF4:AI4)</f>
        <v>57</v>
      </c>
      <c r="D129" s="128">
        <f>+ROUND(($C$129*(1+$A$73)^(D122-$C$122)),0)</f>
        <v>57</v>
      </c>
      <c r="E129" s="128">
        <f t="shared" ref="E129:O129" si="67">+ROUND(($C$129*(1+$A$73)^(E122-$C$122)),0)</f>
        <v>57</v>
      </c>
      <c r="F129" s="190">
        <f t="shared" si="67"/>
        <v>57</v>
      </c>
      <c r="G129" s="191">
        <f t="shared" si="67"/>
        <v>57</v>
      </c>
      <c r="H129" s="191">
        <f t="shared" si="67"/>
        <v>57</v>
      </c>
      <c r="I129" s="191">
        <f t="shared" si="67"/>
        <v>57</v>
      </c>
      <c r="J129" s="191">
        <f t="shared" si="67"/>
        <v>57</v>
      </c>
      <c r="K129" s="191">
        <f t="shared" si="67"/>
        <v>57</v>
      </c>
      <c r="L129" s="191">
        <f t="shared" si="67"/>
        <v>57</v>
      </c>
      <c r="M129" s="191">
        <f t="shared" si="67"/>
        <v>57</v>
      </c>
      <c r="N129" s="191">
        <f t="shared" si="67"/>
        <v>57</v>
      </c>
      <c r="O129" s="191">
        <f t="shared" si="67"/>
        <v>57</v>
      </c>
    </row>
    <row r="130" spans="1:16" x14ac:dyDescent="0.25">
      <c r="A130" s="256"/>
      <c r="B130" s="256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</row>
    <row r="131" spans="1:16" s="112" customFormat="1" ht="53.25" customHeight="1" x14ac:dyDescent="0.25">
      <c r="B131" s="239" t="s">
        <v>24</v>
      </c>
      <c r="C131" s="249" t="s">
        <v>143</v>
      </c>
      <c r="D131" s="250"/>
      <c r="E131" s="251"/>
      <c r="F131" s="255" t="s">
        <v>39</v>
      </c>
      <c r="G131" s="255"/>
      <c r="H131" s="255"/>
      <c r="I131" s="255"/>
      <c r="J131" s="255"/>
      <c r="K131" s="255"/>
      <c r="L131" s="255"/>
      <c r="M131" s="255"/>
      <c r="N131" s="255"/>
      <c r="O131" s="255"/>
    </row>
    <row r="132" spans="1:16" s="112" customFormat="1" ht="12" customHeight="1" x14ac:dyDescent="0.25">
      <c r="B132" s="239"/>
      <c r="C132" s="259">
        <v>0</v>
      </c>
      <c r="D132" s="260"/>
      <c r="E132" s="261"/>
      <c r="F132" s="24">
        <v>1</v>
      </c>
      <c r="G132" s="24">
        <v>2</v>
      </c>
      <c r="H132" s="24">
        <v>3</v>
      </c>
      <c r="I132" s="24">
        <v>4</v>
      </c>
      <c r="J132" s="24">
        <v>5</v>
      </c>
      <c r="K132" s="24">
        <v>6</v>
      </c>
      <c r="L132" s="24">
        <v>7</v>
      </c>
      <c r="M132" s="24">
        <v>8</v>
      </c>
      <c r="N132" s="24">
        <v>9</v>
      </c>
      <c r="O132" s="24">
        <v>10</v>
      </c>
    </row>
    <row r="133" spans="1:16" s="112" customFormat="1" ht="12" customHeight="1" x14ac:dyDescent="0.25">
      <c r="B133" s="239"/>
      <c r="C133" s="20">
        <v>2024</v>
      </c>
      <c r="D133" s="20">
        <v>2025</v>
      </c>
      <c r="E133" s="20">
        <v>2026</v>
      </c>
      <c r="F133" s="20">
        <v>2027</v>
      </c>
      <c r="G133" s="20">
        <v>2028</v>
      </c>
      <c r="H133" s="20">
        <v>2029</v>
      </c>
      <c r="I133" s="20">
        <v>2030</v>
      </c>
      <c r="J133" s="20">
        <v>2031</v>
      </c>
      <c r="K133" s="20">
        <v>2032</v>
      </c>
      <c r="L133" s="20">
        <v>2033</v>
      </c>
      <c r="M133" s="20">
        <v>2034</v>
      </c>
      <c r="N133" s="20">
        <v>2035</v>
      </c>
      <c r="O133" s="20">
        <v>2036</v>
      </c>
    </row>
    <row r="134" spans="1:16" s="112" customFormat="1" ht="12" customHeight="1" x14ac:dyDescent="0.25">
      <c r="B134" s="115" t="s">
        <v>191</v>
      </c>
      <c r="C134" s="97">
        <f>SUM(C135:C135)</f>
        <v>18</v>
      </c>
      <c r="D134" s="97">
        <f t="shared" ref="D134:O134" si="68">SUM(D135:D135)</f>
        <v>18</v>
      </c>
      <c r="E134" s="97">
        <f t="shared" si="68"/>
        <v>18</v>
      </c>
      <c r="F134" s="97">
        <f t="shared" si="68"/>
        <v>18</v>
      </c>
      <c r="G134" s="97">
        <f t="shared" si="68"/>
        <v>18</v>
      </c>
      <c r="H134" s="97">
        <f t="shared" si="68"/>
        <v>18</v>
      </c>
      <c r="I134" s="97">
        <f t="shared" si="68"/>
        <v>18</v>
      </c>
      <c r="J134" s="97">
        <f t="shared" si="68"/>
        <v>18</v>
      </c>
      <c r="K134" s="97">
        <f t="shared" si="68"/>
        <v>18</v>
      </c>
      <c r="L134" s="97">
        <f t="shared" si="68"/>
        <v>18</v>
      </c>
      <c r="M134" s="97">
        <f t="shared" si="68"/>
        <v>18</v>
      </c>
      <c r="N134" s="97">
        <f t="shared" si="68"/>
        <v>18</v>
      </c>
      <c r="O134" s="97">
        <f t="shared" si="68"/>
        <v>18</v>
      </c>
    </row>
    <row r="135" spans="1:16" s="112" customFormat="1" ht="12" customHeight="1" x14ac:dyDescent="0.25">
      <c r="B135" s="105" t="s">
        <v>33</v>
      </c>
      <c r="C135" s="96">
        <f>+Hoja1!I11</f>
        <v>18</v>
      </c>
      <c r="D135" s="96">
        <f t="shared" ref="D135:O135" si="69">+ROUND(($C$135*(1+$A$73)^(D133-$C$133)),0)</f>
        <v>18</v>
      </c>
      <c r="E135" s="96">
        <f t="shared" si="69"/>
        <v>18</v>
      </c>
      <c r="F135" s="142">
        <f t="shared" si="69"/>
        <v>18</v>
      </c>
      <c r="G135" s="142">
        <f t="shared" si="69"/>
        <v>18</v>
      </c>
      <c r="H135" s="142">
        <f t="shared" si="69"/>
        <v>18</v>
      </c>
      <c r="I135" s="142">
        <f t="shared" si="69"/>
        <v>18</v>
      </c>
      <c r="J135" s="142">
        <f t="shared" si="69"/>
        <v>18</v>
      </c>
      <c r="K135" s="142">
        <f t="shared" si="69"/>
        <v>18</v>
      </c>
      <c r="L135" s="142">
        <f t="shared" si="69"/>
        <v>18</v>
      </c>
      <c r="M135" s="142">
        <f t="shared" si="69"/>
        <v>18</v>
      </c>
      <c r="N135" s="142">
        <f t="shared" si="69"/>
        <v>18</v>
      </c>
      <c r="O135" s="142">
        <f t="shared" si="69"/>
        <v>18</v>
      </c>
    </row>
    <row r="136" spans="1:1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B137" s="239" t="s">
        <v>24</v>
      </c>
      <c r="C137" s="249" t="s">
        <v>143</v>
      </c>
      <c r="D137" s="250"/>
      <c r="E137" s="251"/>
      <c r="F137" s="255" t="s">
        <v>39</v>
      </c>
      <c r="G137" s="255"/>
      <c r="H137" s="255"/>
      <c r="I137" s="255"/>
      <c r="J137" s="255"/>
      <c r="K137" s="255"/>
      <c r="L137" s="255"/>
      <c r="M137" s="255"/>
      <c r="N137" s="255"/>
      <c r="O137" s="255"/>
    </row>
    <row r="138" spans="1:16" x14ac:dyDescent="0.25">
      <c r="B138" s="239"/>
      <c r="C138" s="259">
        <v>0</v>
      </c>
      <c r="D138" s="260"/>
      <c r="E138" s="261"/>
      <c r="F138" s="24">
        <v>1</v>
      </c>
      <c r="G138" s="24">
        <v>2</v>
      </c>
      <c r="H138" s="24">
        <v>3</v>
      </c>
      <c r="I138" s="24">
        <v>4</v>
      </c>
      <c r="J138" s="24">
        <v>5</v>
      </c>
      <c r="K138" s="24">
        <v>6</v>
      </c>
      <c r="L138" s="24">
        <v>7</v>
      </c>
      <c r="M138" s="24">
        <v>8</v>
      </c>
      <c r="N138" s="24">
        <v>9</v>
      </c>
      <c r="O138" s="24">
        <v>10</v>
      </c>
    </row>
    <row r="139" spans="1:16" x14ac:dyDescent="0.25">
      <c r="B139" s="239"/>
      <c r="C139" s="20">
        <v>2024</v>
      </c>
      <c r="D139" s="20">
        <v>2025</v>
      </c>
      <c r="E139" s="20">
        <v>2026</v>
      </c>
      <c r="F139" s="20">
        <v>2027</v>
      </c>
      <c r="G139" s="20">
        <v>2028</v>
      </c>
      <c r="H139" s="20">
        <v>2029</v>
      </c>
      <c r="I139" s="20">
        <v>2030</v>
      </c>
      <c r="J139" s="20">
        <v>2031</v>
      </c>
      <c r="K139" s="20">
        <v>2032</v>
      </c>
      <c r="L139" s="20">
        <v>2033</v>
      </c>
      <c r="M139" s="20">
        <v>2034</v>
      </c>
      <c r="N139" s="20">
        <v>2035</v>
      </c>
      <c r="O139" s="20">
        <v>2036</v>
      </c>
    </row>
    <row r="140" spans="1:16" ht="24.75" customHeight="1" x14ac:dyDescent="0.25">
      <c r="B140" s="99" t="s">
        <v>208</v>
      </c>
      <c r="C140" s="97">
        <f>SUM(C141:C142)</f>
        <v>252</v>
      </c>
      <c r="D140" s="97">
        <f t="shared" ref="D140:O140" si="70">SUM(D141:D142)</f>
        <v>252</v>
      </c>
      <c r="E140" s="97">
        <f t="shared" si="70"/>
        <v>252</v>
      </c>
      <c r="F140" s="97">
        <f t="shared" si="70"/>
        <v>252</v>
      </c>
      <c r="G140" s="97">
        <f t="shared" si="70"/>
        <v>252</v>
      </c>
      <c r="H140" s="97">
        <f t="shared" si="70"/>
        <v>252</v>
      </c>
      <c r="I140" s="97">
        <f t="shared" si="70"/>
        <v>252</v>
      </c>
      <c r="J140" s="97">
        <f t="shared" si="70"/>
        <v>252</v>
      </c>
      <c r="K140" s="97">
        <f t="shared" si="70"/>
        <v>253</v>
      </c>
      <c r="L140" s="97">
        <f t="shared" si="70"/>
        <v>253</v>
      </c>
      <c r="M140" s="97">
        <f t="shared" si="70"/>
        <v>253</v>
      </c>
      <c r="N140" s="97">
        <f t="shared" si="70"/>
        <v>253</v>
      </c>
      <c r="O140" s="97">
        <f t="shared" si="70"/>
        <v>253</v>
      </c>
    </row>
    <row r="141" spans="1:16" x14ac:dyDescent="0.25">
      <c r="B141" s="105" t="s">
        <v>206</v>
      </c>
      <c r="C141" s="96">
        <f>+SUM(Hoja1!R4:V4)</f>
        <v>29</v>
      </c>
      <c r="D141" s="118">
        <f t="shared" ref="D141:O141" si="71">+ROUND(($C$141*(1+$A$73)^(D139-$C$139)),0)</f>
        <v>29</v>
      </c>
      <c r="E141" s="118">
        <f t="shared" si="71"/>
        <v>29</v>
      </c>
      <c r="F141" s="187">
        <f t="shared" si="71"/>
        <v>29</v>
      </c>
      <c r="G141" s="186">
        <f t="shared" si="71"/>
        <v>29</v>
      </c>
      <c r="H141" s="186">
        <f t="shared" si="71"/>
        <v>29</v>
      </c>
      <c r="I141" s="186">
        <f t="shared" si="71"/>
        <v>29</v>
      </c>
      <c r="J141" s="186">
        <f t="shared" si="71"/>
        <v>29</v>
      </c>
      <c r="K141" s="186">
        <f t="shared" si="71"/>
        <v>29</v>
      </c>
      <c r="L141" s="186">
        <f t="shared" si="71"/>
        <v>29</v>
      </c>
      <c r="M141" s="186">
        <f t="shared" si="71"/>
        <v>29</v>
      </c>
      <c r="N141" s="186">
        <f t="shared" si="71"/>
        <v>29</v>
      </c>
      <c r="O141" s="186">
        <f t="shared" si="71"/>
        <v>29</v>
      </c>
    </row>
    <row r="142" spans="1:16" x14ac:dyDescent="0.25">
      <c r="B142" s="105" t="s">
        <v>207</v>
      </c>
      <c r="C142" s="96">
        <f>+SUM(Hoja1!W4:AB4)</f>
        <v>223</v>
      </c>
      <c r="D142" s="118">
        <f t="shared" ref="D142:O142" si="72">+ROUND(($C142*(1+$A$73)^(D139-$C$139)),0)</f>
        <v>223</v>
      </c>
      <c r="E142" s="118">
        <f t="shared" si="72"/>
        <v>223</v>
      </c>
      <c r="F142" s="179">
        <f t="shared" si="72"/>
        <v>223</v>
      </c>
      <c r="G142" s="184">
        <f t="shared" si="72"/>
        <v>223</v>
      </c>
      <c r="H142" s="184">
        <f t="shared" si="72"/>
        <v>223</v>
      </c>
      <c r="I142" s="184">
        <f t="shared" si="72"/>
        <v>223</v>
      </c>
      <c r="J142" s="184">
        <f t="shared" si="72"/>
        <v>223</v>
      </c>
      <c r="K142" s="184">
        <f t="shared" si="72"/>
        <v>224</v>
      </c>
      <c r="L142" s="184">
        <f t="shared" si="72"/>
        <v>224</v>
      </c>
      <c r="M142" s="184">
        <f t="shared" si="72"/>
        <v>224</v>
      </c>
      <c r="N142" s="184">
        <f t="shared" si="72"/>
        <v>224</v>
      </c>
      <c r="O142" s="184">
        <f t="shared" si="72"/>
        <v>224</v>
      </c>
    </row>
    <row r="143" spans="1:16" x14ac:dyDescent="0.25">
      <c r="A143" s="256"/>
      <c r="B143" s="257"/>
      <c r="C143" s="258"/>
      <c r="D143" s="258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5"/>
    </row>
    <row r="144" spans="1:16" x14ac:dyDescent="0.25">
      <c r="B144" s="252" t="s">
        <v>38</v>
      </c>
      <c r="C144" s="249" t="s">
        <v>143</v>
      </c>
      <c r="D144" s="250"/>
      <c r="E144" s="251"/>
      <c r="F144" s="255" t="s">
        <v>39</v>
      </c>
      <c r="G144" s="255"/>
      <c r="H144" s="255"/>
      <c r="I144" s="255"/>
      <c r="J144" s="255"/>
      <c r="K144" s="255"/>
      <c r="L144" s="255"/>
      <c r="M144" s="255"/>
      <c r="N144" s="255"/>
      <c r="O144" s="255"/>
    </row>
    <row r="145" spans="1:16" x14ac:dyDescent="0.25">
      <c r="B145" s="253"/>
      <c r="C145" s="239">
        <v>0</v>
      </c>
      <c r="D145" s="239"/>
      <c r="E145" s="239"/>
      <c r="F145" s="24">
        <v>1</v>
      </c>
      <c r="G145" s="25">
        <v>2</v>
      </c>
      <c r="H145" s="25">
        <v>3</v>
      </c>
      <c r="I145" s="25">
        <v>4</v>
      </c>
      <c r="J145" s="25">
        <v>5</v>
      </c>
      <c r="K145" s="25">
        <v>6</v>
      </c>
      <c r="L145" s="25">
        <v>7</v>
      </c>
      <c r="M145" s="25">
        <v>8</v>
      </c>
      <c r="N145" s="25">
        <v>9</v>
      </c>
      <c r="O145" s="24">
        <v>10</v>
      </c>
    </row>
    <row r="146" spans="1:16" x14ac:dyDescent="0.25">
      <c r="B146" s="254"/>
      <c r="C146" s="95">
        <v>2024</v>
      </c>
      <c r="D146" s="95">
        <v>2025</v>
      </c>
      <c r="E146" s="95">
        <v>2026</v>
      </c>
      <c r="F146" s="95">
        <v>2027</v>
      </c>
      <c r="G146" s="95">
        <v>2028</v>
      </c>
      <c r="H146" s="95">
        <v>2029</v>
      </c>
      <c r="I146" s="95">
        <v>2030</v>
      </c>
      <c r="J146" s="95">
        <v>2031</v>
      </c>
      <c r="K146" s="95">
        <v>2032</v>
      </c>
      <c r="L146" s="95">
        <v>2033</v>
      </c>
      <c r="M146" s="95">
        <v>2034</v>
      </c>
      <c r="N146" s="95">
        <v>2035</v>
      </c>
      <c r="O146" s="95">
        <v>2036</v>
      </c>
    </row>
    <row r="147" spans="1:16" x14ac:dyDescent="0.25">
      <c r="B147" s="28" t="s">
        <v>218</v>
      </c>
      <c r="C147" s="98">
        <f>+SUM(C148:C153)</f>
        <v>364</v>
      </c>
      <c r="D147" s="98">
        <f>+SUM(D148:D153)</f>
        <v>364</v>
      </c>
      <c r="E147" s="98">
        <f t="shared" ref="E147" si="73">+SUM(E148:E153)</f>
        <v>364</v>
      </c>
      <c r="F147" s="106">
        <f t="shared" ref="F147" si="74">+SUM(F148:F153)</f>
        <v>364</v>
      </c>
      <c r="G147" s="106">
        <f t="shared" ref="G147" si="75">+SUM(G148:G153)</f>
        <v>364</v>
      </c>
      <c r="H147" s="106">
        <f t="shared" ref="H147" si="76">+SUM(H148:H153)</f>
        <v>364</v>
      </c>
      <c r="I147" s="106">
        <f t="shared" ref="I147" si="77">+SUM(I148:I153)</f>
        <v>364</v>
      </c>
      <c r="J147" s="106">
        <f t="shared" ref="J147" si="78">+SUM(J148:J153)</f>
        <v>364</v>
      </c>
      <c r="K147" s="106">
        <f t="shared" ref="K147" si="79">+SUM(K148:K153)</f>
        <v>364</v>
      </c>
      <c r="L147" s="106">
        <f t="shared" ref="L147" si="80">+SUM(L148:L153)</f>
        <v>364</v>
      </c>
      <c r="M147" s="106">
        <f t="shared" ref="M147" si="81">+SUM(M148:M153)</f>
        <v>364</v>
      </c>
      <c r="N147" s="106">
        <f t="shared" ref="N147" si="82">+SUM(N148:N153)</f>
        <v>364</v>
      </c>
      <c r="O147" s="106">
        <f t="shared" ref="O147" si="83">+SUM(O148:O153)</f>
        <v>364</v>
      </c>
    </row>
    <row r="148" spans="1:16" x14ac:dyDescent="0.25">
      <c r="B148" s="105" t="s">
        <v>181</v>
      </c>
      <c r="C148" s="94">
        <f>+C124</f>
        <v>54</v>
      </c>
      <c r="D148" s="128">
        <f>ROUND(($C$148*(1+$A$73)^(D146-$C$146)),0)</f>
        <v>54</v>
      </c>
      <c r="E148" s="128">
        <f>ROUND(($C$148*(1+$A$73)^(E146-$C$146)),0)</f>
        <v>54</v>
      </c>
      <c r="F148" s="192">
        <f t="shared" ref="F148:O148" si="84">ROUND(($C$148*(1+$A$73)^(F146-$C$146)),0)</f>
        <v>54</v>
      </c>
      <c r="G148" s="193">
        <f t="shared" si="84"/>
        <v>54</v>
      </c>
      <c r="H148" s="193">
        <f t="shared" si="84"/>
        <v>54</v>
      </c>
      <c r="I148" s="193">
        <f t="shared" si="84"/>
        <v>54</v>
      </c>
      <c r="J148" s="193">
        <f t="shared" si="84"/>
        <v>54</v>
      </c>
      <c r="K148" s="193">
        <f t="shared" si="84"/>
        <v>54</v>
      </c>
      <c r="L148" s="193">
        <f t="shared" si="84"/>
        <v>54</v>
      </c>
      <c r="M148" s="193">
        <f t="shared" si="84"/>
        <v>54</v>
      </c>
      <c r="N148" s="193">
        <f t="shared" si="84"/>
        <v>54</v>
      </c>
      <c r="O148" s="193">
        <f t="shared" si="84"/>
        <v>54</v>
      </c>
    </row>
    <row r="149" spans="1:16" x14ac:dyDescent="0.25">
      <c r="B149" s="51" t="s">
        <v>182</v>
      </c>
      <c r="C149" s="94">
        <f>+C125</f>
        <v>87</v>
      </c>
      <c r="D149" s="128">
        <f>ROUND(($C$149*(1+$A$73)^(D146-$C$146)),0)</f>
        <v>87</v>
      </c>
      <c r="E149" s="128">
        <f t="shared" ref="E149:O149" si="85">ROUND(($C$149*(1+$A$73)^(E146-$C$146)),0)</f>
        <v>87</v>
      </c>
      <c r="F149" s="189">
        <f t="shared" si="85"/>
        <v>87</v>
      </c>
      <c r="G149" s="124">
        <f t="shared" si="85"/>
        <v>87</v>
      </c>
      <c r="H149" s="124">
        <f t="shared" si="85"/>
        <v>87</v>
      </c>
      <c r="I149" s="124">
        <f t="shared" si="85"/>
        <v>87</v>
      </c>
      <c r="J149" s="124">
        <f t="shared" si="85"/>
        <v>87</v>
      </c>
      <c r="K149" s="124">
        <f t="shared" si="85"/>
        <v>87</v>
      </c>
      <c r="L149" s="124">
        <f t="shared" si="85"/>
        <v>87</v>
      </c>
      <c r="M149" s="124">
        <f t="shared" si="85"/>
        <v>87</v>
      </c>
      <c r="N149" s="124">
        <f t="shared" si="85"/>
        <v>87</v>
      </c>
      <c r="O149" s="124">
        <f t="shared" si="85"/>
        <v>87</v>
      </c>
    </row>
    <row r="150" spans="1:16" x14ac:dyDescent="0.25">
      <c r="B150" s="51" t="s">
        <v>183</v>
      </c>
      <c r="C150" s="94">
        <f t="shared" ref="C150:C153" si="86">+C126</f>
        <v>66</v>
      </c>
      <c r="D150" s="128">
        <f>ROUND(($C$150*(1+$A$73)^(D146-$C$146)),0)</f>
        <v>66</v>
      </c>
      <c r="E150" s="128">
        <f t="shared" ref="E150:O150" si="87">ROUND(($C$150*(1+$A$73)^(E146-$C$146)),0)</f>
        <v>66</v>
      </c>
      <c r="F150" s="189">
        <f t="shared" si="87"/>
        <v>66</v>
      </c>
      <c r="G150" s="124">
        <f t="shared" si="87"/>
        <v>66</v>
      </c>
      <c r="H150" s="124">
        <f t="shared" si="87"/>
        <v>66</v>
      </c>
      <c r="I150" s="124">
        <f t="shared" si="87"/>
        <v>66</v>
      </c>
      <c r="J150" s="124">
        <f t="shared" si="87"/>
        <v>66</v>
      </c>
      <c r="K150" s="124">
        <f t="shared" si="87"/>
        <v>66</v>
      </c>
      <c r="L150" s="124">
        <f t="shared" si="87"/>
        <v>66</v>
      </c>
      <c r="M150" s="124">
        <f t="shared" si="87"/>
        <v>66</v>
      </c>
      <c r="N150" s="124">
        <f t="shared" si="87"/>
        <v>66</v>
      </c>
      <c r="O150" s="124">
        <f t="shared" si="87"/>
        <v>66</v>
      </c>
    </row>
    <row r="151" spans="1:16" x14ac:dyDescent="0.25">
      <c r="B151" s="51" t="s">
        <v>184</v>
      </c>
      <c r="C151" s="94">
        <f t="shared" si="86"/>
        <v>54</v>
      </c>
      <c r="D151" s="128">
        <f>ROUND(($C$151*(1+$A$73)^(D146-$C$146)),0)</f>
        <v>54</v>
      </c>
      <c r="E151" s="128">
        <f t="shared" ref="E151:O151" si="88">ROUND(($C$151*(1+$A$73)^(E146-$C$146)),0)</f>
        <v>54</v>
      </c>
      <c r="F151" s="189">
        <f t="shared" si="88"/>
        <v>54</v>
      </c>
      <c r="G151" s="124">
        <f t="shared" si="88"/>
        <v>54</v>
      </c>
      <c r="H151" s="124">
        <f t="shared" si="88"/>
        <v>54</v>
      </c>
      <c r="I151" s="124">
        <f t="shared" si="88"/>
        <v>54</v>
      </c>
      <c r="J151" s="124">
        <f t="shared" si="88"/>
        <v>54</v>
      </c>
      <c r="K151" s="124">
        <f t="shared" si="88"/>
        <v>54</v>
      </c>
      <c r="L151" s="124">
        <f t="shared" si="88"/>
        <v>54</v>
      </c>
      <c r="M151" s="124">
        <f t="shared" si="88"/>
        <v>54</v>
      </c>
      <c r="N151" s="124">
        <f t="shared" si="88"/>
        <v>54</v>
      </c>
      <c r="O151" s="124">
        <f t="shared" si="88"/>
        <v>54</v>
      </c>
    </row>
    <row r="152" spans="1:16" x14ac:dyDescent="0.25">
      <c r="B152" s="51" t="s">
        <v>185</v>
      </c>
      <c r="C152" s="94">
        <f t="shared" si="86"/>
        <v>46</v>
      </c>
      <c r="D152" s="128">
        <f>ROUND(($C$152*(1+$A$73)^(D146-$C$146)),0)</f>
        <v>46</v>
      </c>
      <c r="E152" s="128">
        <f t="shared" ref="E152:O152" si="89">ROUND(($C$152*(1+$A$73)^(E146-$C$146)),0)</f>
        <v>46</v>
      </c>
      <c r="F152" s="189">
        <f t="shared" si="89"/>
        <v>46</v>
      </c>
      <c r="G152" s="124">
        <f t="shared" si="89"/>
        <v>46</v>
      </c>
      <c r="H152" s="124">
        <f t="shared" si="89"/>
        <v>46</v>
      </c>
      <c r="I152" s="124">
        <f t="shared" si="89"/>
        <v>46</v>
      </c>
      <c r="J152" s="124">
        <f t="shared" si="89"/>
        <v>46</v>
      </c>
      <c r="K152" s="124">
        <f t="shared" si="89"/>
        <v>46</v>
      </c>
      <c r="L152" s="124">
        <f t="shared" si="89"/>
        <v>46</v>
      </c>
      <c r="M152" s="124">
        <f t="shared" si="89"/>
        <v>46</v>
      </c>
      <c r="N152" s="124">
        <f t="shared" si="89"/>
        <v>46</v>
      </c>
      <c r="O152" s="124">
        <f t="shared" si="89"/>
        <v>46</v>
      </c>
    </row>
    <row r="153" spans="1:16" x14ac:dyDescent="0.25">
      <c r="B153" s="109" t="s">
        <v>186</v>
      </c>
      <c r="C153" s="94">
        <f t="shared" si="86"/>
        <v>57</v>
      </c>
      <c r="D153" s="118">
        <f>ROUND(($C$153*(1+$A$73)^(D146-$C$146)),0)</f>
        <v>57</v>
      </c>
      <c r="E153" s="118">
        <f t="shared" ref="E153:O153" si="90">ROUND(($C$153*(1+$A$73)^(E146-$C$146)),0)</f>
        <v>57</v>
      </c>
      <c r="F153" s="179">
        <f t="shared" si="90"/>
        <v>57</v>
      </c>
      <c r="G153" s="184">
        <f t="shared" si="90"/>
        <v>57</v>
      </c>
      <c r="H153" s="184">
        <f t="shared" si="90"/>
        <v>57</v>
      </c>
      <c r="I153" s="184">
        <f t="shared" si="90"/>
        <v>57</v>
      </c>
      <c r="J153" s="184">
        <f t="shared" si="90"/>
        <v>57</v>
      </c>
      <c r="K153" s="184">
        <f t="shared" si="90"/>
        <v>57</v>
      </c>
      <c r="L153" s="184">
        <f t="shared" si="90"/>
        <v>57</v>
      </c>
      <c r="M153" s="184">
        <f t="shared" si="90"/>
        <v>57</v>
      </c>
      <c r="N153" s="184">
        <f t="shared" si="90"/>
        <v>57</v>
      </c>
      <c r="O153" s="184">
        <f t="shared" si="90"/>
        <v>57</v>
      </c>
    </row>
    <row r="154" spans="1:16" x14ac:dyDescent="0.25">
      <c r="A154" s="256"/>
      <c r="B154" s="257"/>
      <c r="C154" s="258"/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58"/>
      <c r="P154" s="265"/>
    </row>
    <row r="155" spans="1:16" s="112" customFormat="1" ht="16.5" customHeight="1" x14ac:dyDescent="0.25">
      <c r="B155" s="239" t="s">
        <v>24</v>
      </c>
      <c r="C155" s="249" t="s">
        <v>143</v>
      </c>
      <c r="D155" s="250"/>
      <c r="E155" s="251"/>
      <c r="F155" s="255" t="s">
        <v>39</v>
      </c>
      <c r="G155" s="255"/>
      <c r="H155" s="255"/>
      <c r="I155" s="255"/>
      <c r="J155" s="255"/>
      <c r="K155" s="255"/>
      <c r="L155" s="255"/>
      <c r="M155" s="255"/>
      <c r="N155" s="255"/>
      <c r="O155" s="255"/>
    </row>
    <row r="156" spans="1:16" s="112" customFormat="1" ht="16.5" customHeight="1" x14ac:dyDescent="0.25">
      <c r="B156" s="239"/>
      <c r="C156" s="259">
        <v>0</v>
      </c>
      <c r="D156" s="260"/>
      <c r="E156" s="261"/>
      <c r="F156" s="24">
        <v>1</v>
      </c>
      <c r="G156" s="24">
        <v>2</v>
      </c>
      <c r="H156" s="24">
        <v>3</v>
      </c>
      <c r="I156" s="24">
        <v>4</v>
      </c>
      <c r="J156" s="24">
        <v>5</v>
      </c>
      <c r="K156" s="24">
        <v>6</v>
      </c>
      <c r="L156" s="24">
        <v>7</v>
      </c>
      <c r="M156" s="24">
        <v>8</v>
      </c>
      <c r="N156" s="24">
        <v>9</v>
      </c>
      <c r="O156" s="24">
        <v>10</v>
      </c>
    </row>
    <row r="157" spans="1:16" s="112" customFormat="1" ht="16.5" customHeight="1" x14ac:dyDescent="0.25">
      <c r="B157" s="239"/>
      <c r="C157" s="20">
        <v>2024</v>
      </c>
      <c r="D157" s="20">
        <v>2025</v>
      </c>
      <c r="E157" s="20">
        <v>2026</v>
      </c>
      <c r="F157" s="20">
        <v>2027</v>
      </c>
      <c r="G157" s="20">
        <v>2028</v>
      </c>
      <c r="H157" s="20">
        <v>2029</v>
      </c>
      <c r="I157" s="20">
        <v>2030</v>
      </c>
      <c r="J157" s="20">
        <v>2031</v>
      </c>
      <c r="K157" s="20">
        <v>2032</v>
      </c>
      <c r="L157" s="20">
        <v>2033</v>
      </c>
      <c r="M157" s="20">
        <v>2034</v>
      </c>
      <c r="N157" s="20">
        <v>2035</v>
      </c>
      <c r="O157" s="20">
        <v>2036</v>
      </c>
    </row>
    <row r="158" spans="1:16" s="112" customFormat="1" ht="16.5" customHeight="1" x14ac:dyDescent="0.25">
      <c r="B158" s="115" t="s">
        <v>213</v>
      </c>
      <c r="C158" s="97">
        <f>SUM(C159:C159)</f>
        <v>18</v>
      </c>
      <c r="D158" s="97">
        <f t="shared" ref="D158:O158" si="91">SUM(D159:D159)</f>
        <v>18</v>
      </c>
      <c r="E158" s="97">
        <f t="shared" si="91"/>
        <v>18</v>
      </c>
      <c r="F158" s="98">
        <f t="shared" si="91"/>
        <v>18</v>
      </c>
      <c r="G158" s="98">
        <f t="shared" si="91"/>
        <v>18</v>
      </c>
      <c r="H158" s="98">
        <f t="shared" si="91"/>
        <v>18</v>
      </c>
      <c r="I158" s="98">
        <f t="shared" si="91"/>
        <v>18</v>
      </c>
      <c r="J158" s="98">
        <f t="shared" si="91"/>
        <v>18</v>
      </c>
      <c r="K158" s="98">
        <f t="shared" si="91"/>
        <v>18</v>
      </c>
      <c r="L158" s="98">
        <f t="shared" si="91"/>
        <v>18</v>
      </c>
      <c r="M158" s="98">
        <f t="shared" si="91"/>
        <v>18</v>
      </c>
      <c r="N158" s="98">
        <f t="shared" si="91"/>
        <v>18</v>
      </c>
      <c r="O158" s="98">
        <f t="shared" si="91"/>
        <v>18</v>
      </c>
    </row>
    <row r="159" spans="1:16" s="112" customFormat="1" ht="16.5" customHeight="1" x14ac:dyDescent="0.25">
      <c r="B159" s="105" t="s">
        <v>33</v>
      </c>
      <c r="C159" s="96">
        <f>+Hoja1!I11</f>
        <v>18</v>
      </c>
      <c r="D159" s="118">
        <f t="shared" ref="D159:O159" si="92">+ROUND(($C$159*(1+$A$73)^(D157-$C$157)),0)</f>
        <v>18</v>
      </c>
      <c r="E159" s="96">
        <f t="shared" si="92"/>
        <v>18</v>
      </c>
      <c r="F159" s="118">
        <f t="shared" si="92"/>
        <v>18</v>
      </c>
      <c r="G159" s="142">
        <f t="shared" si="92"/>
        <v>18</v>
      </c>
      <c r="H159" s="142">
        <f t="shared" si="92"/>
        <v>18</v>
      </c>
      <c r="I159" s="142">
        <f t="shared" si="92"/>
        <v>18</v>
      </c>
      <c r="J159" s="142">
        <f t="shared" si="92"/>
        <v>18</v>
      </c>
      <c r="K159" s="142">
        <f t="shared" si="92"/>
        <v>18</v>
      </c>
      <c r="L159" s="142">
        <f t="shared" si="92"/>
        <v>18</v>
      </c>
      <c r="M159" s="142">
        <f t="shared" si="92"/>
        <v>18</v>
      </c>
      <c r="N159" s="142">
        <f t="shared" si="92"/>
        <v>18</v>
      </c>
      <c r="O159" s="142">
        <f t="shared" si="92"/>
        <v>18</v>
      </c>
    </row>
    <row r="160" spans="1:16" x14ac:dyDescent="0.25">
      <c r="A160" s="256"/>
      <c r="B160" s="257"/>
      <c r="C160" s="258"/>
      <c r="D160" s="258"/>
      <c r="E160" s="258"/>
      <c r="F160" s="258"/>
      <c r="G160" s="258"/>
      <c r="H160" s="258"/>
      <c r="I160" s="258"/>
      <c r="J160" s="258"/>
      <c r="K160" s="258"/>
      <c r="L160" s="258"/>
      <c r="M160" s="258"/>
      <c r="N160" s="258"/>
      <c r="O160" s="258"/>
      <c r="P160" s="265"/>
    </row>
    <row r="161" spans="1:15" ht="15" customHeight="1" x14ac:dyDescent="0.25">
      <c r="B161" s="252" t="s">
        <v>222</v>
      </c>
      <c r="C161" s="249" t="s">
        <v>143</v>
      </c>
      <c r="D161" s="250"/>
      <c r="E161" s="251"/>
      <c r="F161" s="259" t="s">
        <v>39</v>
      </c>
      <c r="G161" s="260"/>
      <c r="H161" s="260"/>
      <c r="I161" s="260"/>
      <c r="J161" s="260"/>
      <c r="K161" s="260"/>
      <c r="L161" s="260"/>
      <c r="M161" s="260"/>
      <c r="N161" s="260"/>
      <c r="O161" s="261"/>
    </row>
    <row r="162" spans="1:15" x14ac:dyDescent="0.25">
      <c r="B162" s="253"/>
      <c r="C162" s="249">
        <v>0</v>
      </c>
      <c r="D162" s="250"/>
      <c r="E162" s="251"/>
      <c r="F162" s="24">
        <v>1</v>
      </c>
      <c r="G162" s="25">
        <v>2</v>
      </c>
      <c r="H162" s="25">
        <v>3</v>
      </c>
      <c r="I162" s="25">
        <v>4</v>
      </c>
      <c r="J162" s="25">
        <v>5</v>
      </c>
      <c r="K162" s="25">
        <v>6</v>
      </c>
      <c r="L162" s="25">
        <v>7</v>
      </c>
      <c r="M162" s="25">
        <v>8</v>
      </c>
      <c r="N162" s="25">
        <v>9</v>
      </c>
      <c r="O162" s="24">
        <v>10</v>
      </c>
    </row>
    <row r="163" spans="1:15" x14ac:dyDescent="0.25">
      <c r="B163" s="254"/>
      <c r="C163" s="95">
        <v>2024</v>
      </c>
      <c r="D163" s="95">
        <v>2025</v>
      </c>
      <c r="E163" s="95">
        <v>2026</v>
      </c>
      <c r="F163" s="95">
        <v>2027</v>
      </c>
      <c r="G163" s="95">
        <v>2028</v>
      </c>
      <c r="H163" s="95">
        <v>2029</v>
      </c>
      <c r="I163" s="95">
        <v>2030</v>
      </c>
      <c r="J163" s="95">
        <v>2031</v>
      </c>
      <c r="K163" s="95">
        <v>2032</v>
      </c>
      <c r="L163" s="95">
        <v>2033</v>
      </c>
      <c r="M163" s="95">
        <v>2034</v>
      </c>
      <c r="N163" s="95">
        <v>2035</v>
      </c>
      <c r="O163" s="95">
        <v>2036</v>
      </c>
    </row>
    <row r="164" spans="1:15" x14ac:dyDescent="0.25">
      <c r="B164" s="28" t="s">
        <v>391</v>
      </c>
      <c r="C164" s="98">
        <f>+C165</f>
        <v>467</v>
      </c>
      <c r="D164" s="98">
        <f t="shared" ref="D164:O164" si="93">+D165</f>
        <v>467</v>
      </c>
      <c r="E164" s="98">
        <f t="shared" si="93"/>
        <v>467</v>
      </c>
      <c r="F164" s="98">
        <f t="shared" si="93"/>
        <v>467</v>
      </c>
      <c r="G164" s="98">
        <f t="shared" si="93"/>
        <v>468</v>
      </c>
      <c r="H164" s="98">
        <f t="shared" si="93"/>
        <v>468</v>
      </c>
      <c r="I164" s="98">
        <f t="shared" si="93"/>
        <v>468</v>
      </c>
      <c r="J164" s="98">
        <f t="shared" si="93"/>
        <v>468</v>
      </c>
      <c r="K164" s="98">
        <f t="shared" si="93"/>
        <v>468</v>
      </c>
      <c r="L164" s="98">
        <f t="shared" si="93"/>
        <v>468</v>
      </c>
      <c r="M164" s="98">
        <f t="shared" si="93"/>
        <v>468</v>
      </c>
      <c r="N164" s="98">
        <f t="shared" si="93"/>
        <v>469</v>
      </c>
      <c r="O164" s="98">
        <f t="shared" si="93"/>
        <v>469</v>
      </c>
    </row>
    <row r="165" spans="1:15" x14ac:dyDescent="0.25">
      <c r="B165" s="195" t="s">
        <v>393</v>
      </c>
      <c r="C165" s="94">
        <f>+SUM(Hoja1!G4:AI4)</f>
        <v>467</v>
      </c>
      <c r="D165" s="128">
        <f t="shared" ref="D165:O165" si="94">ROUND(($C$165*(1+$A$73)^(D163-$C$163)),0)</f>
        <v>467</v>
      </c>
      <c r="E165" s="128">
        <f t="shared" si="94"/>
        <v>467</v>
      </c>
      <c r="F165" s="128">
        <f t="shared" si="94"/>
        <v>467</v>
      </c>
      <c r="G165" s="197">
        <f t="shared" si="94"/>
        <v>468</v>
      </c>
      <c r="H165" s="197">
        <f t="shared" si="94"/>
        <v>468</v>
      </c>
      <c r="I165" s="197">
        <f t="shared" si="94"/>
        <v>468</v>
      </c>
      <c r="J165" s="197">
        <f t="shared" si="94"/>
        <v>468</v>
      </c>
      <c r="K165" s="197">
        <f t="shared" si="94"/>
        <v>468</v>
      </c>
      <c r="L165" s="197">
        <f t="shared" si="94"/>
        <v>468</v>
      </c>
      <c r="M165" s="197">
        <f t="shared" si="94"/>
        <v>468</v>
      </c>
      <c r="N165" s="197">
        <f t="shared" si="94"/>
        <v>469</v>
      </c>
      <c r="O165" s="197">
        <f t="shared" si="94"/>
        <v>469</v>
      </c>
    </row>
    <row r="166" spans="1:15" x14ac:dyDescent="0.25">
      <c r="A166" s="256"/>
      <c r="B166" s="257"/>
      <c r="C166" s="258"/>
      <c r="D166" s="258"/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</row>
    <row r="167" spans="1:15" x14ac:dyDescent="0.25">
      <c r="B167" s="252" t="s">
        <v>222</v>
      </c>
      <c r="C167" s="249" t="s">
        <v>143</v>
      </c>
      <c r="D167" s="250"/>
      <c r="E167" s="251"/>
      <c r="F167" s="255" t="s">
        <v>39</v>
      </c>
      <c r="G167" s="255"/>
      <c r="H167" s="255"/>
      <c r="I167" s="255"/>
      <c r="J167" s="255"/>
      <c r="K167" s="255"/>
      <c r="L167" s="255"/>
      <c r="M167" s="255"/>
      <c r="N167" s="255"/>
      <c r="O167" s="255"/>
    </row>
    <row r="168" spans="1:15" x14ac:dyDescent="0.25">
      <c r="B168" s="253"/>
      <c r="C168" s="239">
        <v>0</v>
      </c>
      <c r="D168" s="239"/>
      <c r="E168" s="239"/>
      <c r="F168" s="24">
        <v>1</v>
      </c>
      <c r="G168" s="25">
        <v>2</v>
      </c>
      <c r="H168" s="25">
        <v>3</v>
      </c>
      <c r="I168" s="25">
        <v>4</v>
      </c>
      <c r="J168" s="25">
        <v>5</v>
      </c>
      <c r="K168" s="25">
        <v>6</v>
      </c>
      <c r="L168" s="25">
        <v>7</v>
      </c>
      <c r="M168" s="25">
        <v>8</v>
      </c>
      <c r="N168" s="25">
        <v>9</v>
      </c>
      <c r="O168" s="24">
        <v>10</v>
      </c>
    </row>
    <row r="169" spans="1:15" x14ac:dyDescent="0.25">
      <c r="B169" s="254"/>
      <c r="C169" s="95">
        <v>2024</v>
      </c>
      <c r="D169" s="95">
        <v>2025</v>
      </c>
      <c r="E169" s="95">
        <v>2026</v>
      </c>
      <c r="F169" s="95">
        <v>2027</v>
      </c>
      <c r="G169" s="95">
        <v>2028</v>
      </c>
      <c r="H169" s="95">
        <v>2029</v>
      </c>
      <c r="I169" s="95">
        <v>2030</v>
      </c>
      <c r="J169" s="95">
        <v>2031</v>
      </c>
      <c r="K169" s="95">
        <v>2032</v>
      </c>
      <c r="L169" s="95">
        <v>2033</v>
      </c>
      <c r="M169" s="95">
        <v>2034</v>
      </c>
      <c r="N169" s="95">
        <v>2035</v>
      </c>
      <c r="O169" s="95">
        <v>2036</v>
      </c>
    </row>
    <row r="170" spans="1:15" x14ac:dyDescent="0.25">
      <c r="B170" s="28" t="s">
        <v>349</v>
      </c>
      <c r="C170" s="98">
        <f>+C171</f>
        <v>482</v>
      </c>
      <c r="D170" s="98">
        <f t="shared" ref="D170:O170" si="95">+D171</f>
        <v>482</v>
      </c>
      <c r="E170" s="98">
        <f t="shared" si="95"/>
        <v>482</v>
      </c>
      <c r="F170" s="98">
        <f t="shared" si="95"/>
        <v>482</v>
      </c>
      <c r="G170" s="98">
        <f t="shared" si="95"/>
        <v>483</v>
      </c>
      <c r="H170" s="98">
        <f t="shared" si="95"/>
        <v>483</v>
      </c>
      <c r="I170" s="98">
        <f t="shared" si="95"/>
        <v>483</v>
      </c>
      <c r="J170" s="98">
        <f t="shared" si="95"/>
        <v>483</v>
      </c>
      <c r="K170" s="98">
        <f t="shared" si="95"/>
        <v>483</v>
      </c>
      <c r="L170" s="98">
        <f t="shared" si="95"/>
        <v>483</v>
      </c>
      <c r="M170" s="98">
        <f t="shared" si="95"/>
        <v>483</v>
      </c>
      <c r="N170" s="98">
        <f t="shared" si="95"/>
        <v>484</v>
      </c>
      <c r="O170" s="98">
        <f t="shared" si="95"/>
        <v>484</v>
      </c>
    </row>
    <row r="171" spans="1:15" x14ac:dyDescent="0.25">
      <c r="B171" s="195" t="s">
        <v>397</v>
      </c>
      <c r="C171" s="94">
        <f>+SUM(Hoja1!F4:AI4)</f>
        <v>482</v>
      </c>
      <c r="D171" s="128">
        <f t="shared" ref="D171:O171" si="96">ROUND(($C$171*(1+$A$73)^(D169-$C$169)),0)</f>
        <v>482</v>
      </c>
      <c r="E171" s="128">
        <f t="shared" si="96"/>
        <v>482</v>
      </c>
      <c r="F171" s="128">
        <f t="shared" si="96"/>
        <v>482</v>
      </c>
      <c r="G171" s="128">
        <f t="shared" si="96"/>
        <v>483</v>
      </c>
      <c r="H171" s="197">
        <f t="shared" si="96"/>
        <v>483</v>
      </c>
      <c r="I171" s="197">
        <f t="shared" si="96"/>
        <v>483</v>
      </c>
      <c r="J171" s="197">
        <f t="shared" si="96"/>
        <v>483</v>
      </c>
      <c r="K171" s="197">
        <f t="shared" si="96"/>
        <v>483</v>
      </c>
      <c r="L171" s="197">
        <f t="shared" si="96"/>
        <v>483</v>
      </c>
      <c r="M171" s="197">
        <f t="shared" si="96"/>
        <v>483</v>
      </c>
      <c r="N171" s="197">
        <f t="shared" si="96"/>
        <v>484</v>
      </c>
      <c r="O171" s="197">
        <f t="shared" si="96"/>
        <v>484</v>
      </c>
    </row>
    <row r="172" spans="1:15" x14ac:dyDescent="0.25">
      <c r="A172" s="256"/>
      <c r="B172" s="257"/>
      <c r="C172" s="258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</row>
    <row r="173" spans="1:15" x14ac:dyDescent="0.25">
      <c r="B173" s="252" t="s">
        <v>222</v>
      </c>
      <c r="C173" s="249" t="s">
        <v>143</v>
      </c>
      <c r="D173" s="250"/>
      <c r="E173" s="251"/>
      <c r="F173" s="255" t="s">
        <v>39</v>
      </c>
      <c r="G173" s="255"/>
      <c r="H173" s="255"/>
      <c r="I173" s="255"/>
      <c r="J173" s="255"/>
      <c r="K173" s="255"/>
      <c r="L173" s="255"/>
      <c r="M173" s="255"/>
      <c r="N173" s="255"/>
      <c r="O173" s="255"/>
    </row>
    <row r="174" spans="1:15" x14ac:dyDescent="0.25">
      <c r="B174" s="253"/>
      <c r="C174" s="239">
        <v>0</v>
      </c>
      <c r="D174" s="239"/>
      <c r="E174" s="239"/>
      <c r="F174" s="24">
        <v>1</v>
      </c>
      <c r="G174" s="25">
        <v>2</v>
      </c>
      <c r="H174" s="25">
        <v>3</v>
      </c>
      <c r="I174" s="25">
        <v>4</v>
      </c>
      <c r="J174" s="25">
        <v>5</v>
      </c>
      <c r="K174" s="25">
        <v>6</v>
      </c>
      <c r="L174" s="25">
        <v>7</v>
      </c>
      <c r="M174" s="25">
        <v>8</v>
      </c>
      <c r="N174" s="25">
        <v>9</v>
      </c>
      <c r="O174" s="24">
        <v>10</v>
      </c>
    </row>
    <row r="175" spans="1:15" x14ac:dyDescent="0.25">
      <c r="B175" s="254"/>
      <c r="C175" s="95">
        <v>2024</v>
      </c>
      <c r="D175" s="95">
        <v>2025</v>
      </c>
      <c r="E175" s="95">
        <v>2026</v>
      </c>
      <c r="F175" s="95">
        <v>2027</v>
      </c>
      <c r="G175" s="95">
        <v>2028</v>
      </c>
      <c r="H175" s="95">
        <v>2029</v>
      </c>
      <c r="I175" s="95">
        <v>2030</v>
      </c>
      <c r="J175" s="95">
        <v>2031</v>
      </c>
      <c r="K175" s="95">
        <v>2032</v>
      </c>
      <c r="L175" s="95">
        <v>2033</v>
      </c>
      <c r="M175" s="95">
        <v>2034</v>
      </c>
      <c r="N175" s="95">
        <v>2035</v>
      </c>
      <c r="O175" s="95">
        <v>2036</v>
      </c>
    </row>
    <row r="176" spans="1:15" x14ac:dyDescent="0.25">
      <c r="B176" s="28" t="s">
        <v>350</v>
      </c>
      <c r="C176" s="98">
        <f>+C177</f>
        <v>507</v>
      </c>
      <c r="D176" s="98">
        <f t="shared" ref="D176:O176" si="97">+D177</f>
        <v>507</v>
      </c>
      <c r="E176" s="98">
        <f t="shared" si="97"/>
        <v>507</v>
      </c>
      <c r="F176" s="106">
        <f t="shared" si="97"/>
        <v>507</v>
      </c>
      <c r="G176" s="106">
        <f t="shared" si="97"/>
        <v>508</v>
      </c>
      <c r="H176" s="106">
        <f t="shared" si="97"/>
        <v>508</v>
      </c>
      <c r="I176" s="106">
        <f t="shared" si="97"/>
        <v>508</v>
      </c>
      <c r="J176" s="106">
        <f t="shared" si="97"/>
        <v>508</v>
      </c>
      <c r="K176" s="106">
        <f t="shared" si="97"/>
        <v>508</v>
      </c>
      <c r="L176" s="106">
        <f t="shared" si="97"/>
        <v>508</v>
      </c>
      <c r="M176" s="106">
        <f t="shared" si="97"/>
        <v>509</v>
      </c>
      <c r="N176" s="106">
        <f t="shared" si="97"/>
        <v>509</v>
      </c>
      <c r="O176" s="106">
        <f t="shared" si="97"/>
        <v>509</v>
      </c>
    </row>
    <row r="177" spans="1:15" x14ac:dyDescent="0.25">
      <c r="B177" s="195" t="s">
        <v>392</v>
      </c>
      <c r="C177" s="94">
        <f>+SUM(Hoja1!AJ4)</f>
        <v>507</v>
      </c>
      <c r="D177" s="94">
        <f>ROUND(($C$177*(1+$A$73)^(D175-$C$175)),0)</f>
        <v>507</v>
      </c>
      <c r="E177" s="128">
        <f t="shared" ref="E177:O177" si="98">ROUND(($C$177*(1+$A$73)^(E175-$C$175)),0)</f>
        <v>507</v>
      </c>
      <c r="F177" s="128">
        <f t="shared" si="98"/>
        <v>507</v>
      </c>
      <c r="G177" s="197">
        <f t="shared" si="98"/>
        <v>508</v>
      </c>
      <c r="H177" s="197">
        <f t="shared" si="98"/>
        <v>508</v>
      </c>
      <c r="I177" s="197">
        <f t="shared" si="98"/>
        <v>508</v>
      </c>
      <c r="J177" s="197">
        <f t="shared" si="98"/>
        <v>508</v>
      </c>
      <c r="K177" s="197">
        <f t="shared" si="98"/>
        <v>508</v>
      </c>
      <c r="L177" s="197">
        <f t="shared" si="98"/>
        <v>508</v>
      </c>
      <c r="M177" s="197">
        <f t="shared" si="98"/>
        <v>509</v>
      </c>
      <c r="N177" s="197">
        <f t="shared" si="98"/>
        <v>509</v>
      </c>
      <c r="O177" s="197">
        <f t="shared" si="98"/>
        <v>509</v>
      </c>
    </row>
    <row r="178" spans="1:15" x14ac:dyDescent="0.25">
      <c r="A178" s="256"/>
      <c r="B178" s="257"/>
      <c r="C178" s="258"/>
      <c r="D178" s="258"/>
      <c r="E178" s="258"/>
      <c r="F178" s="258"/>
      <c r="G178" s="258"/>
      <c r="H178" s="258"/>
      <c r="I178" s="258"/>
      <c r="J178" s="258"/>
      <c r="K178" s="258"/>
      <c r="L178" s="258"/>
      <c r="M178" s="258"/>
      <c r="N178" s="258"/>
      <c r="O178" s="258"/>
    </row>
    <row r="179" spans="1:15" x14ac:dyDescent="0.25">
      <c r="B179" s="252" t="s">
        <v>222</v>
      </c>
      <c r="C179" s="249" t="s">
        <v>143</v>
      </c>
      <c r="D179" s="250"/>
      <c r="E179" s="251"/>
      <c r="F179" s="255" t="s">
        <v>39</v>
      </c>
      <c r="G179" s="255"/>
      <c r="H179" s="255"/>
      <c r="I179" s="255"/>
      <c r="J179" s="255"/>
      <c r="K179" s="255"/>
      <c r="L179" s="255"/>
      <c r="M179" s="255"/>
      <c r="N179" s="255"/>
      <c r="O179" s="255"/>
    </row>
    <row r="180" spans="1:15" x14ac:dyDescent="0.25">
      <c r="B180" s="253"/>
      <c r="C180" s="239">
        <v>0</v>
      </c>
      <c r="D180" s="239"/>
      <c r="E180" s="239"/>
      <c r="F180" s="24">
        <v>1</v>
      </c>
      <c r="G180" s="25">
        <v>2</v>
      </c>
      <c r="H180" s="25">
        <v>3</v>
      </c>
      <c r="I180" s="25">
        <v>4</v>
      </c>
      <c r="J180" s="25">
        <v>5</v>
      </c>
      <c r="K180" s="25">
        <v>6</v>
      </c>
      <c r="L180" s="25">
        <v>7</v>
      </c>
      <c r="M180" s="25">
        <v>8</v>
      </c>
      <c r="N180" s="25">
        <v>9</v>
      </c>
      <c r="O180" s="24">
        <v>10</v>
      </c>
    </row>
    <row r="181" spans="1:15" x14ac:dyDescent="0.25">
      <c r="B181" s="254"/>
      <c r="C181" s="95">
        <v>2024</v>
      </c>
      <c r="D181" s="95">
        <v>2025</v>
      </c>
      <c r="E181" s="95">
        <v>2026</v>
      </c>
      <c r="F181" s="95">
        <v>2027</v>
      </c>
      <c r="G181" s="95">
        <v>2028</v>
      </c>
      <c r="H181" s="95">
        <v>2029</v>
      </c>
      <c r="I181" s="95">
        <v>2030</v>
      </c>
      <c r="J181" s="95">
        <v>2031</v>
      </c>
      <c r="K181" s="95">
        <v>2032</v>
      </c>
      <c r="L181" s="95">
        <v>2033</v>
      </c>
      <c r="M181" s="95">
        <v>2034</v>
      </c>
      <c r="N181" s="95">
        <v>2035</v>
      </c>
      <c r="O181" s="95">
        <v>2036</v>
      </c>
    </row>
    <row r="182" spans="1:15" x14ac:dyDescent="0.25">
      <c r="B182" s="28" t="s">
        <v>405</v>
      </c>
      <c r="C182" s="98">
        <f>+C183</f>
        <v>507</v>
      </c>
      <c r="D182" s="98">
        <f t="shared" ref="D182:O182" si="99">+D183</f>
        <v>507</v>
      </c>
      <c r="E182" s="98">
        <f t="shared" si="99"/>
        <v>507</v>
      </c>
      <c r="F182" s="106">
        <f t="shared" si="99"/>
        <v>507</v>
      </c>
      <c r="G182" s="106">
        <f t="shared" si="99"/>
        <v>508</v>
      </c>
      <c r="H182" s="106">
        <f t="shared" si="99"/>
        <v>508</v>
      </c>
      <c r="I182" s="106">
        <f t="shared" si="99"/>
        <v>508</v>
      </c>
      <c r="J182" s="106">
        <f t="shared" si="99"/>
        <v>508</v>
      </c>
      <c r="K182" s="106">
        <f t="shared" si="99"/>
        <v>508</v>
      </c>
      <c r="L182" s="106">
        <f t="shared" si="99"/>
        <v>508</v>
      </c>
      <c r="M182" s="106">
        <f t="shared" si="99"/>
        <v>509</v>
      </c>
      <c r="N182" s="106">
        <f t="shared" si="99"/>
        <v>509</v>
      </c>
      <c r="O182" s="106">
        <f t="shared" si="99"/>
        <v>509</v>
      </c>
    </row>
    <row r="183" spans="1:15" x14ac:dyDescent="0.25">
      <c r="B183" s="195" t="s">
        <v>392</v>
      </c>
      <c r="C183" s="94">
        <f>+C177</f>
        <v>507</v>
      </c>
      <c r="D183" s="94">
        <f t="shared" ref="D183:O183" si="100">+D177</f>
        <v>507</v>
      </c>
      <c r="E183" s="128">
        <f t="shared" si="100"/>
        <v>507</v>
      </c>
      <c r="F183" s="128">
        <f t="shared" si="100"/>
        <v>507</v>
      </c>
      <c r="G183" s="197">
        <f t="shared" si="100"/>
        <v>508</v>
      </c>
      <c r="H183" s="197">
        <f t="shared" si="100"/>
        <v>508</v>
      </c>
      <c r="I183" s="197">
        <f t="shared" si="100"/>
        <v>508</v>
      </c>
      <c r="J183" s="197">
        <f t="shared" si="100"/>
        <v>508</v>
      </c>
      <c r="K183" s="197">
        <f t="shared" si="100"/>
        <v>508</v>
      </c>
      <c r="L183" s="197">
        <f t="shared" si="100"/>
        <v>508</v>
      </c>
      <c r="M183" s="197">
        <f t="shared" si="100"/>
        <v>509</v>
      </c>
      <c r="N183" s="197">
        <f t="shared" si="100"/>
        <v>509</v>
      </c>
      <c r="O183" s="197">
        <f t="shared" si="100"/>
        <v>509</v>
      </c>
    </row>
    <row r="184" spans="1:15" x14ac:dyDescent="0.25">
      <c r="A184" s="256"/>
      <c r="B184" s="257"/>
      <c r="C184" s="258"/>
      <c r="D184" s="258"/>
      <c r="E184" s="258"/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</row>
    <row r="185" spans="1:15" x14ac:dyDescent="0.25">
      <c r="B185" s="252" t="s">
        <v>222</v>
      </c>
      <c r="C185" s="249" t="s">
        <v>143</v>
      </c>
      <c r="D185" s="250"/>
      <c r="E185" s="251"/>
      <c r="F185" s="255" t="s">
        <v>39</v>
      </c>
      <c r="G185" s="255"/>
      <c r="H185" s="255"/>
      <c r="I185" s="255"/>
      <c r="J185" s="255"/>
      <c r="K185" s="255"/>
      <c r="L185" s="255"/>
      <c r="M185" s="255"/>
      <c r="N185" s="255"/>
      <c r="O185" s="255"/>
    </row>
    <row r="186" spans="1:15" x14ac:dyDescent="0.25">
      <c r="B186" s="253"/>
      <c r="C186" s="239">
        <v>0</v>
      </c>
      <c r="D186" s="239"/>
      <c r="E186" s="239"/>
      <c r="F186" s="24">
        <v>1</v>
      </c>
      <c r="G186" s="25">
        <v>2</v>
      </c>
      <c r="H186" s="25">
        <v>3</v>
      </c>
      <c r="I186" s="25">
        <v>4</v>
      </c>
      <c r="J186" s="25">
        <v>5</v>
      </c>
      <c r="K186" s="25">
        <v>6</v>
      </c>
      <c r="L186" s="25">
        <v>7</v>
      </c>
      <c r="M186" s="25">
        <v>8</v>
      </c>
      <c r="N186" s="25">
        <v>9</v>
      </c>
      <c r="O186" s="24">
        <v>10</v>
      </c>
    </row>
    <row r="187" spans="1:15" x14ac:dyDescent="0.25">
      <c r="B187" s="254"/>
      <c r="C187" s="95">
        <v>2024</v>
      </c>
      <c r="D187" s="95">
        <v>2025</v>
      </c>
      <c r="E187" s="95">
        <v>2026</v>
      </c>
      <c r="F187" s="95">
        <v>2027</v>
      </c>
      <c r="G187" s="95">
        <v>2028</v>
      </c>
      <c r="H187" s="95">
        <v>2029</v>
      </c>
      <c r="I187" s="95">
        <v>2030</v>
      </c>
      <c r="J187" s="95">
        <v>2031</v>
      </c>
      <c r="K187" s="95">
        <v>2032</v>
      </c>
      <c r="L187" s="95">
        <v>2033</v>
      </c>
      <c r="M187" s="95">
        <v>2034</v>
      </c>
      <c r="N187" s="95">
        <v>2035</v>
      </c>
      <c r="O187" s="95">
        <v>2036</v>
      </c>
    </row>
    <row r="188" spans="1:15" x14ac:dyDescent="0.25">
      <c r="B188" s="28" t="s">
        <v>404</v>
      </c>
      <c r="C188" s="98">
        <f>+C189</f>
        <v>507</v>
      </c>
      <c r="D188" s="98">
        <f t="shared" ref="D188:O188" si="101">+D189</f>
        <v>507</v>
      </c>
      <c r="E188" s="98">
        <f t="shared" si="101"/>
        <v>507</v>
      </c>
      <c r="F188" s="106">
        <f t="shared" si="101"/>
        <v>507</v>
      </c>
      <c r="G188" s="106">
        <f t="shared" si="101"/>
        <v>508</v>
      </c>
      <c r="H188" s="106">
        <f t="shared" si="101"/>
        <v>508</v>
      </c>
      <c r="I188" s="106">
        <f t="shared" si="101"/>
        <v>508</v>
      </c>
      <c r="J188" s="106">
        <f t="shared" si="101"/>
        <v>508</v>
      </c>
      <c r="K188" s="106">
        <f t="shared" si="101"/>
        <v>508</v>
      </c>
      <c r="L188" s="106">
        <f t="shared" si="101"/>
        <v>508</v>
      </c>
      <c r="M188" s="106">
        <f t="shared" si="101"/>
        <v>509</v>
      </c>
      <c r="N188" s="106">
        <f t="shared" si="101"/>
        <v>509</v>
      </c>
      <c r="O188" s="106">
        <f t="shared" si="101"/>
        <v>509</v>
      </c>
    </row>
    <row r="189" spans="1:15" x14ac:dyDescent="0.25">
      <c r="B189" s="195" t="s">
        <v>392</v>
      </c>
      <c r="C189" s="94">
        <f>+C183</f>
        <v>507</v>
      </c>
      <c r="D189" s="94">
        <f t="shared" ref="D189:O189" si="102">+D183</f>
        <v>507</v>
      </c>
      <c r="E189" s="128">
        <f t="shared" si="102"/>
        <v>507</v>
      </c>
      <c r="F189" s="128">
        <f t="shared" si="102"/>
        <v>507</v>
      </c>
      <c r="G189" s="197">
        <f t="shared" si="102"/>
        <v>508</v>
      </c>
      <c r="H189" s="197">
        <f t="shared" si="102"/>
        <v>508</v>
      </c>
      <c r="I189" s="197">
        <f t="shared" si="102"/>
        <v>508</v>
      </c>
      <c r="J189" s="197">
        <f t="shared" si="102"/>
        <v>508</v>
      </c>
      <c r="K189" s="197">
        <f t="shared" si="102"/>
        <v>508</v>
      </c>
      <c r="L189" s="197">
        <f t="shared" si="102"/>
        <v>508</v>
      </c>
      <c r="M189" s="197">
        <f t="shared" si="102"/>
        <v>509</v>
      </c>
      <c r="N189" s="197">
        <f t="shared" si="102"/>
        <v>509</v>
      </c>
      <c r="O189" s="197">
        <f t="shared" si="102"/>
        <v>509</v>
      </c>
    </row>
    <row r="190" spans="1:15" x14ac:dyDescent="0.25">
      <c r="A190" s="256"/>
      <c r="B190" s="257"/>
      <c r="C190" s="258"/>
      <c r="D190" s="258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58"/>
    </row>
    <row r="191" spans="1:15" x14ac:dyDescent="0.25">
      <c r="B191" s="252" t="s">
        <v>222</v>
      </c>
      <c r="C191" s="249" t="s">
        <v>143</v>
      </c>
      <c r="D191" s="250"/>
      <c r="E191" s="251"/>
      <c r="F191" s="255" t="s">
        <v>39</v>
      </c>
      <c r="G191" s="255"/>
      <c r="H191" s="255"/>
      <c r="I191" s="255"/>
      <c r="J191" s="255"/>
      <c r="K191" s="255"/>
      <c r="L191" s="255"/>
      <c r="M191" s="255"/>
      <c r="N191" s="255"/>
      <c r="O191" s="255"/>
    </row>
    <row r="192" spans="1:15" x14ac:dyDescent="0.25">
      <c r="B192" s="253"/>
      <c r="C192" s="239">
        <v>0</v>
      </c>
      <c r="D192" s="239"/>
      <c r="E192" s="239"/>
      <c r="F192" s="24">
        <v>1</v>
      </c>
      <c r="G192" s="25">
        <v>2</v>
      </c>
      <c r="H192" s="25">
        <v>3</v>
      </c>
      <c r="I192" s="25">
        <v>4</v>
      </c>
      <c r="J192" s="25">
        <v>5</v>
      </c>
      <c r="K192" s="25">
        <v>6</v>
      </c>
      <c r="L192" s="25">
        <v>7</v>
      </c>
      <c r="M192" s="25">
        <v>8</v>
      </c>
      <c r="N192" s="25">
        <v>9</v>
      </c>
      <c r="O192" s="24">
        <v>10</v>
      </c>
    </row>
    <row r="193" spans="1:15" x14ac:dyDescent="0.25">
      <c r="B193" s="254"/>
      <c r="C193" s="95">
        <v>2024</v>
      </c>
      <c r="D193" s="95">
        <v>2025</v>
      </c>
      <c r="E193" s="95">
        <v>2026</v>
      </c>
      <c r="F193" s="95">
        <v>2027</v>
      </c>
      <c r="G193" s="95">
        <v>2028</v>
      </c>
      <c r="H193" s="95">
        <v>2029</v>
      </c>
      <c r="I193" s="95">
        <v>2030</v>
      </c>
      <c r="J193" s="95">
        <v>2031</v>
      </c>
      <c r="K193" s="95">
        <v>2032</v>
      </c>
      <c r="L193" s="95">
        <v>2033</v>
      </c>
      <c r="M193" s="95">
        <v>2034</v>
      </c>
      <c r="N193" s="95">
        <v>2035</v>
      </c>
      <c r="O193" s="95">
        <v>2036</v>
      </c>
    </row>
    <row r="194" spans="1:15" x14ac:dyDescent="0.25">
      <c r="B194" s="28" t="s">
        <v>403</v>
      </c>
      <c r="C194" s="98">
        <f>+C195</f>
        <v>507</v>
      </c>
      <c r="D194" s="98">
        <f t="shared" ref="D194:O194" si="103">+D195</f>
        <v>507</v>
      </c>
      <c r="E194" s="98">
        <f t="shared" si="103"/>
        <v>507</v>
      </c>
      <c r="F194" s="106">
        <f t="shared" si="103"/>
        <v>507</v>
      </c>
      <c r="G194" s="106">
        <f t="shared" si="103"/>
        <v>508</v>
      </c>
      <c r="H194" s="106">
        <f t="shared" si="103"/>
        <v>508</v>
      </c>
      <c r="I194" s="106">
        <f t="shared" si="103"/>
        <v>508</v>
      </c>
      <c r="J194" s="106">
        <f t="shared" si="103"/>
        <v>508</v>
      </c>
      <c r="K194" s="106">
        <f t="shared" si="103"/>
        <v>508</v>
      </c>
      <c r="L194" s="106">
        <f t="shared" si="103"/>
        <v>508</v>
      </c>
      <c r="M194" s="106">
        <f t="shared" si="103"/>
        <v>509</v>
      </c>
      <c r="N194" s="106">
        <f t="shared" si="103"/>
        <v>509</v>
      </c>
      <c r="O194" s="106">
        <f t="shared" si="103"/>
        <v>509</v>
      </c>
    </row>
    <row r="195" spans="1:15" x14ac:dyDescent="0.25">
      <c r="B195" s="195" t="s">
        <v>392</v>
      </c>
      <c r="C195" s="94">
        <f>+C189</f>
        <v>507</v>
      </c>
      <c r="D195" s="94">
        <f t="shared" ref="D195:O195" si="104">+D189</f>
        <v>507</v>
      </c>
      <c r="E195" s="128">
        <f t="shared" si="104"/>
        <v>507</v>
      </c>
      <c r="F195" s="128">
        <f t="shared" si="104"/>
        <v>507</v>
      </c>
      <c r="G195" s="197">
        <f t="shared" si="104"/>
        <v>508</v>
      </c>
      <c r="H195" s="197">
        <f t="shared" si="104"/>
        <v>508</v>
      </c>
      <c r="I195" s="197">
        <f t="shared" si="104"/>
        <v>508</v>
      </c>
      <c r="J195" s="197">
        <f t="shared" si="104"/>
        <v>508</v>
      </c>
      <c r="K195" s="197">
        <f t="shared" si="104"/>
        <v>508</v>
      </c>
      <c r="L195" s="197">
        <f t="shared" si="104"/>
        <v>508</v>
      </c>
      <c r="M195" s="197">
        <f t="shared" si="104"/>
        <v>509</v>
      </c>
      <c r="N195" s="197">
        <f t="shared" si="104"/>
        <v>509</v>
      </c>
      <c r="O195" s="197">
        <f t="shared" si="104"/>
        <v>509</v>
      </c>
    </row>
    <row r="196" spans="1:15" x14ac:dyDescent="0.25">
      <c r="A196" s="256"/>
      <c r="B196" s="257"/>
      <c r="C196" s="258"/>
      <c r="D196" s="258"/>
      <c r="E196" s="258"/>
      <c r="F196" s="258"/>
      <c r="G196" s="258"/>
      <c r="H196" s="258"/>
      <c r="I196" s="258"/>
      <c r="J196" s="258"/>
      <c r="K196" s="258"/>
      <c r="L196" s="258"/>
      <c r="M196" s="258"/>
      <c r="N196" s="258"/>
      <c r="O196" s="258"/>
    </row>
    <row r="197" spans="1:15" x14ac:dyDescent="0.25">
      <c r="B197" s="252" t="s">
        <v>222</v>
      </c>
      <c r="C197" s="249" t="s">
        <v>143</v>
      </c>
      <c r="D197" s="250"/>
      <c r="E197" s="251"/>
      <c r="F197" s="255" t="s">
        <v>39</v>
      </c>
      <c r="G197" s="255"/>
      <c r="H197" s="255"/>
      <c r="I197" s="255"/>
      <c r="J197" s="255"/>
      <c r="K197" s="255"/>
      <c r="L197" s="255"/>
      <c r="M197" s="255"/>
      <c r="N197" s="255"/>
      <c r="O197" s="255"/>
    </row>
    <row r="198" spans="1:15" x14ac:dyDescent="0.25">
      <c r="B198" s="253"/>
      <c r="C198" s="239">
        <v>0</v>
      </c>
      <c r="D198" s="239"/>
      <c r="E198" s="239"/>
      <c r="F198" s="24">
        <v>1</v>
      </c>
      <c r="G198" s="25">
        <v>2</v>
      </c>
      <c r="H198" s="25">
        <v>3</v>
      </c>
      <c r="I198" s="25">
        <v>4</v>
      </c>
      <c r="J198" s="25">
        <v>5</v>
      </c>
      <c r="K198" s="25">
        <v>6</v>
      </c>
      <c r="L198" s="25">
        <v>7</v>
      </c>
      <c r="M198" s="25">
        <v>8</v>
      </c>
      <c r="N198" s="25">
        <v>9</v>
      </c>
      <c r="O198" s="24">
        <v>10</v>
      </c>
    </row>
    <row r="199" spans="1:15" x14ac:dyDescent="0.25">
      <c r="B199" s="254"/>
      <c r="C199" s="95">
        <v>2024</v>
      </c>
      <c r="D199" s="95">
        <v>2025</v>
      </c>
      <c r="E199" s="95">
        <v>2026</v>
      </c>
      <c r="F199" s="95">
        <v>2027</v>
      </c>
      <c r="G199" s="95">
        <v>2028</v>
      </c>
      <c r="H199" s="95">
        <v>2029</v>
      </c>
      <c r="I199" s="95">
        <v>2030</v>
      </c>
      <c r="J199" s="95">
        <v>2031</v>
      </c>
      <c r="K199" s="95">
        <v>2032</v>
      </c>
      <c r="L199" s="95">
        <v>2033</v>
      </c>
      <c r="M199" s="95">
        <v>2034</v>
      </c>
      <c r="N199" s="95">
        <v>2035</v>
      </c>
      <c r="O199" s="95">
        <v>2036</v>
      </c>
    </row>
    <row r="200" spans="1:15" x14ac:dyDescent="0.25">
      <c r="B200" s="28" t="s">
        <v>402</v>
      </c>
      <c r="C200" s="98">
        <f>+C201</f>
        <v>507</v>
      </c>
      <c r="D200" s="98">
        <f t="shared" ref="D200:O200" si="105">+D201</f>
        <v>507</v>
      </c>
      <c r="E200" s="98">
        <f t="shared" si="105"/>
        <v>507</v>
      </c>
      <c r="F200" s="106">
        <f t="shared" si="105"/>
        <v>507</v>
      </c>
      <c r="G200" s="106">
        <f t="shared" si="105"/>
        <v>508</v>
      </c>
      <c r="H200" s="106">
        <f t="shared" si="105"/>
        <v>508</v>
      </c>
      <c r="I200" s="106">
        <f t="shared" si="105"/>
        <v>508</v>
      </c>
      <c r="J200" s="106">
        <f t="shared" si="105"/>
        <v>508</v>
      </c>
      <c r="K200" s="106">
        <f t="shared" si="105"/>
        <v>508</v>
      </c>
      <c r="L200" s="106">
        <f t="shared" si="105"/>
        <v>508</v>
      </c>
      <c r="M200" s="106">
        <f t="shared" si="105"/>
        <v>509</v>
      </c>
      <c r="N200" s="106">
        <f t="shared" si="105"/>
        <v>509</v>
      </c>
      <c r="O200" s="106">
        <f t="shared" si="105"/>
        <v>509</v>
      </c>
    </row>
    <row r="201" spans="1:15" x14ac:dyDescent="0.25">
      <c r="B201" s="195" t="s">
        <v>392</v>
      </c>
      <c r="C201" s="94">
        <f>+C195</f>
        <v>507</v>
      </c>
      <c r="D201" s="94">
        <f t="shared" ref="D201:O201" si="106">+D195</f>
        <v>507</v>
      </c>
      <c r="E201" s="128">
        <f t="shared" si="106"/>
        <v>507</v>
      </c>
      <c r="F201" s="128">
        <f t="shared" si="106"/>
        <v>507</v>
      </c>
      <c r="G201" s="197">
        <f t="shared" si="106"/>
        <v>508</v>
      </c>
      <c r="H201" s="197">
        <f t="shared" si="106"/>
        <v>508</v>
      </c>
      <c r="I201" s="197">
        <f t="shared" si="106"/>
        <v>508</v>
      </c>
      <c r="J201" s="197">
        <f t="shared" si="106"/>
        <v>508</v>
      </c>
      <c r="K201" s="197">
        <f t="shared" si="106"/>
        <v>508</v>
      </c>
      <c r="L201" s="197">
        <f t="shared" si="106"/>
        <v>508</v>
      </c>
      <c r="M201" s="197">
        <f t="shared" si="106"/>
        <v>509</v>
      </c>
      <c r="N201" s="197">
        <f t="shared" si="106"/>
        <v>509</v>
      </c>
      <c r="O201" s="197">
        <f t="shared" si="106"/>
        <v>509</v>
      </c>
    </row>
    <row r="202" spans="1:15" x14ac:dyDescent="0.25">
      <c r="A202" s="256"/>
      <c r="B202" s="257"/>
      <c r="C202" s="258"/>
      <c r="D202" s="258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</row>
    <row r="203" spans="1:15" s="112" customFormat="1" ht="12" customHeight="1" x14ac:dyDescent="0.25">
      <c r="B203" s="113"/>
      <c r="C203" s="114"/>
      <c r="D203" s="114"/>
      <c r="E203" s="114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</row>
    <row r="208" spans="1:15" x14ac:dyDescent="0.25">
      <c r="B208" t="s">
        <v>180</v>
      </c>
    </row>
  </sheetData>
  <mergeCells count="101">
    <mergeCell ref="A74:P74"/>
    <mergeCell ref="B28:B30"/>
    <mergeCell ref="F28:O28"/>
    <mergeCell ref="C29:E29"/>
    <mergeCell ref="C28:E28"/>
    <mergeCell ref="B34:B36"/>
    <mergeCell ref="C34:E34"/>
    <mergeCell ref="F34:O34"/>
    <mergeCell ref="C35:E35"/>
    <mergeCell ref="C40:E40"/>
    <mergeCell ref="B40:B42"/>
    <mergeCell ref="C41:E41"/>
    <mergeCell ref="F40:O40"/>
    <mergeCell ref="C63:E63"/>
    <mergeCell ref="A119:V119"/>
    <mergeCell ref="B52:B54"/>
    <mergeCell ref="F52:O52"/>
    <mergeCell ref="C53:E53"/>
    <mergeCell ref="B62:B64"/>
    <mergeCell ref="F62:O62"/>
    <mergeCell ref="C52:E52"/>
    <mergeCell ref="B137:B139"/>
    <mergeCell ref="F137:O137"/>
    <mergeCell ref="C138:E138"/>
    <mergeCell ref="A130:P130"/>
    <mergeCell ref="C131:E131"/>
    <mergeCell ref="A143:P143"/>
    <mergeCell ref="C137:E137"/>
    <mergeCell ref="B144:B146"/>
    <mergeCell ref="C144:E144"/>
    <mergeCell ref="F144:O144"/>
    <mergeCell ref="C145:E145"/>
    <mergeCell ref="A154:P154"/>
    <mergeCell ref="B75:B77"/>
    <mergeCell ref="A160:P160"/>
    <mergeCell ref="B173:B175"/>
    <mergeCell ref="C173:E173"/>
    <mergeCell ref="F173:O173"/>
    <mergeCell ref="C174:E174"/>
    <mergeCell ref="B109:B111"/>
    <mergeCell ref="F109:O109"/>
    <mergeCell ref="C110:E110"/>
    <mergeCell ref="B120:B122"/>
    <mergeCell ref="F120:O120"/>
    <mergeCell ref="C121:E121"/>
    <mergeCell ref="B161:B163"/>
    <mergeCell ref="C161:E161"/>
    <mergeCell ref="F161:O161"/>
    <mergeCell ref="C162:E162"/>
    <mergeCell ref="A166:O166"/>
    <mergeCell ref="A172:O172"/>
    <mergeCell ref="B167:B169"/>
    <mergeCell ref="C167:E167"/>
    <mergeCell ref="F167:O167"/>
    <mergeCell ref="C168:E168"/>
    <mergeCell ref="C98:E98"/>
    <mergeCell ref="C120:E120"/>
    <mergeCell ref="C62:E62"/>
    <mergeCell ref="B155:B157"/>
    <mergeCell ref="F155:O155"/>
    <mergeCell ref="C156:E156"/>
    <mergeCell ref="B131:B133"/>
    <mergeCell ref="F131:O131"/>
    <mergeCell ref="C132:E132"/>
    <mergeCell ref="C155:E155"/>
    <mergeCell ref="C87:E87"/>
    <mergeCell ref="B98:B100"/>
    <mergeCell ref="F98:O98"/>
    <mergeCell ref="C99:E99"/>
    <mergeCell ref="A108:Q108"/>
    <mergeCell ref="A97:Q97"/>
    <mergeCell ref="B73:O73"/>
    <mergeCell ref="C76:E76"/>
    <mergeCell ref="B87:B89"/>
    <mergeCell ref="F87:O87"/>
    <mergeCell ref="C88:E88"/>
    <mergeCell ref="F75:O75"/>
    <mergeCell ref="C75:E75"/>
    <mergeCell ref="A85:O85"/>
    <mergeCell ref="B1:D1"/>
    <mergeCell ref="B191:B193"/>
    <mergeCell ref="C191:E191"/>
    <mergeCell ref="F191:O191"/>
    <mergeCell ref="C192:E192"/>
    <mergeCell ref="A196:O196"/>
    <mergeCell ref="A202:O202"/>
    <mergeCell ref="B197:B199"/>
    <mergeCell ref="C197:E197"/>
    <mergeCell ref="F197:O197"/>
    <mergeCell ref="C198:E198"/>
    <mergeCell ref="A178:O178"/>
    <mergeCell ref="B179:B181"/>
    <mergeCell ref="C179:E179"/>
    <mergeCell ref="F179:O179"/>
    <mergeCell ref="C180:E180"/>
    <mergeCell ref="A184:O184"/>
    <mergeCell ref="A190:O190"/>
    <mergeCell ref="B185:B187"/>
    <mergeCell ref="C185:E185"/>
    <mergeCell ref="F185:O185"/>
    <mergeCell ref="C186:E186"/>
  </mergeCells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6"/>
  <sheetViews>
    <sheetView topLeftCell="A163" zoomScale="69" zoomScaleNormal="69" workbookViewId="0">
      <selection activeCell="C197" sqref="C197:P201"/>
    </sheetView>
  </sheetViews>
  <sheetFormatPr baseColWidth="10" defaultRowHeight="15" x14ac:dyDescent="0.25"/>
  <cols>
    <col min="3" max="3" width="52.28515625" customWidth="1"/>
    <col min="4" max="5" width="9.7109375" customWidth="1"/>
    <col min="6" max="6" width="9.85546875" customWidth="1"/>
    <col min="7" max="9" width="9.7109375" customWidth="1"/>
    <col min="10" max="12" width="9.85546875" customWidth="1"/>
    <col min="13" max="16" width="9.7109375" customWidth="1"/>
  </cols>
  <sheetData>
    <row r="1" spans="2:18" ht="20.25" customHeight="1" x14ac:dyDescent="0.25">
      <c r="C1" s="247" t="s">
        <v>238</v>
      </c>
      <c r="D1" s="248"/>
      <c r="E1" s="248"/>
    </row>
    <row r="2" spans="2:18" ht="25.5" x14ac:dyDescent="0.25">
      <c r="C2" s="140" t="s">
        <v>351</v>
      </c>
      <c r="D2" s="196" t="s">
        <v>428</v>
      </c>
      <c r="E2" s="198">
        <f>507*48%</f>
        <v>243.35999999999999</v>
      </c>
    </row>
    <row r="3" spans="2:18" ht="25.5" x14ac:dyDescent="0.25">
      <c r="C3" s="140" t="s">
        <v>406</v>
      </c>
      <c r="D3" s="196" t="s">
        <v>430</v>
      </c>
      <c r="E3" s="198">
        <f>507*48%</f>
        <v>243.35999999999999</v>
      </c>
    </row>
    <row r="4" spans="2:18" ht="27" customHeight="1" x14ac:dyDescent="0.25">
      <c r="C4" s="140" t="s">
        <v>407</v>
      </c>
      <c r="D4" s="196" t="s">
        <v>371</v>
      </c>
      <c r="E4" s="196" t="s">
        <v>372</v>
      </c>
    </row>
    <row r="5" spans="2:18" ht="25.5" x14ac:dyDescent="0.25">
      <c r="C5" s="140" t="s">
        <v>408</v>
      </c>
      <c r="D5" s="196" t="s">
        <v>376</v>
      </c>
      <c r="E5" s="196" t="s">
        <v>374</v>
      </c>
    </row>
    <row r="6" spans="2:18" ht="25.5" x14ac:dyDescent="0.25">
      <c r="C6" s="140" t="s">
        <v>409</v>
      </c>
      <c r="D6" s="196" t="s">
        <v>375</v>
      </c>
      <c r="E6" s="196" t="s">
        <v>377</v>
      </c>
    </row>
    <row r="7" spans="2:18" ht="25.5" x14ac:dyDescent="0.25">
      <c r="C7" s="140" t="s">
        <v>410</v>
      </c>
      <c r="D7" s="196" t="s">
        <v>380</v>
      </c>
      <c r="E7" s="196" t="s">
        <v>381</v>
      </c>
    </row>
    <row r="8" spans="2:18" ht="25.5" x14ac:dyDescent="0.25">
      <c r="C8" s="140" t="s">
        <v>411</v>
      </c>
      <c r="D8" s="196" t="s">
        <v>380</v>
      </c>
      <c r="E8" s="196" t="s">
        <v>381</v>
      </c>
    </row>
    <row r="9" spans="2:18" ht="25.5" x14ac:dyDescent="0.25">
      <c r="C9" s="140" t="s">
        <v>412</v>
      </c>
      <c r="D9" s="196" t="s">
        <v>384</v>
      </c>
      <c r="E9" s="196" t="s">
        <v>385</v>
      </c>
    </row>
    <row r="10" spans="2:18" ht="25.5" x14ac:dyDescent="0.25">
      <c r="C10" s="140" t="s">
        <v>413</v>
      </c>
      <c r="D10" s="196" t="s">
        <v>386</v>
      </c>
      <c r="E10" s="196" t="s">
        <v>381</v>
      </c>
    </row>
    <row r="11" spans="2:18" ht="25.5" x14ac:dyDescent="0.25">
      <c r="C11" s="140" t="s">
        <v>414</v>
      </c>
      <c r="D11" s="196" t="s">
        <v>386</v>
      </c>
      <c r="E11" s="196" t="s">
        <v>381</v>
      </c>
    </row>
    <row r="12" spans="2:18" ht="25.5" x14ac:dyDescent="0.25">
      <c r="B12" s="2"/>
      <c r="C12" s="140" t="s">
        <v>415</v>
      </c>
      <c r="D12" s="196" t="s">
        <v>388</v>
      </c>
      <c r="E12" s="196" t="s">
        <v>179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18" ht="25.5" x14ac:dyDescent="0.25">
      <c r="C13" s="140" t="s">
        <v>416</v>
      </c>
      <c r="D13" s="196" t="s">
        <v>389</v>
      </c>
      <c r="E13" s="196" t="s">
        <v>390</v>
      </c>
    </row>
    <row r="14" spans="2:18" ht="25.5" x14ac:dyDescent="0.25">
      <c r="C14" s="140" t="s">
        <v>417</v>
      </c>
      <c r="D14" s="196" t="s">
        <v>386</v>
      </c>
      <c r="E14" s="196" t="s">
        <v>381</v>
      </c>
    </row>
    <row r="15" spans="2:18" ht="25.5" x14ac:dyDescent="0.25">
      <c r="C15" s="140" t="s">
        <v>418</v>
      </c>
      <c r="D15" s="196" t="s">
        <v>388</v>
      </c>
      <c r="E15" s="196" t="s">
        <v>179</v>
      </c>
    </row>
    <row r="16" spans="2:18" ht="38.25" x14ac:dyDescent="0.25">
      <c r="C16" s="140" t="s">
        <v>419</v>
      </c>
      <c r="D16" s="196" t="s">
        <v>429</v>
      </c>
      <c r="E16" s="198">
        <f>467*48%</f>
        <v>224.16</v>
      </c>
    </row>
    <row r="17" spans="3:18" ht="25.5" x14ac:dyDescent="0.25">
      <c r="C17" s="140" t="s">
        <v>420</v>
      </c>
      <c r="D17" s="196" t="s">
        <v>398</v>
      </c>
      <c r="E17" s="196" t="s">
        <v>399</v>
      </c>
    </row>
    <row r="18" spans="3:18" ht="25.5" x14ac:dyDescent="0.25">
      <c r="C18" s="140" t="s">
        <v>421</v>
      </c>
      <c r="D18" s="196" t="s">
        <v>430</v>
      </c>
      <c r="E18" s="198">
        <f t="shared" ref="E18:E23" si="0">507*48%</f>
        <v>243.35999999999999</v>
      </c>
    </row>
    <row r="19" spans="3:18" ht="25.5" x14ac:dyDescent="0.25">
      <c r="C19" s="140" t="s">
        <v>422</v>
      </c>
      <c r="D19" s="196" t="s">
        <v>430</v>
      </c>
      <c r="E19" s="198">
        <f t="shared" si="0"/>
        <v>243.35999999999999</v>
      </c>
    </row>
    <row r="20" spans="3:18" ht="25.5" x14ac:dyDescent="0.25">
      <c r="C20" s="140" t="s">
        <v>423</v>
      </c>
      <c r="D20" s="196" t="s">
        <v>430</v>
      </c>
      <c r="E20" s="198">
        <f t="shared" si="0"/>
        <v>243.35999999999999</v>
      </c>
    </row>
    <row r="21" spans="3:18" ht="25.5" x14ac:dyDescent="0.25">
      <c r="C21" s="140" t="s">
        <v>424</v>
      </c>
      <c r="D21" s="196" t="s">
        <v>430</v>
      </c>
      <c r="E21" s="198">
        <f t="shared" si="0"/>
        <v>243.35999999999999</v>
      </c>
    </row>
    <row r="22" spans="3:18" ht="25.5" x14ac:dyDescent="0.25">
      <c r="C22" s="140" t="s">
        <v>425</v>
      </c>
      <c r="D22" s="196" t="s">
        <v>430</v>
      </c>
      <c r="E22" s="198">
        <f t="shared" si="0"/>
        <v>243.35999999999999</v>
      </c>
    </row>
    <row r="23" spans="3:18" ht="25.5" x14ac:dyDescent="0.25">
      <c r="C23" s="140" t="s">
        <v>426</v>
      </c>
      <c r="D23" s="196" t="s">
        <v>430</v>
      </c>
      <c r="E23" s="198">
        <f t="shared" si="0"/>
        <v>243.35999999999999</v>
      </c>
    </row>
    <row r="24" spans="3:18" ht="25.5" x14ac:dyDescent="0.25">
      <c r="C24" s="140" t="s">
        <v>427</v>
      </c>
      <c r="D24" s="196" t="s">
        <v>369</v>
      </c>
      <c r="E24" s="196" t="s">
        <v>370</v>
      </c>
    </row>
    <row r="28" spans="3:18" x14ac:dyDescent="0.25">
      <c r="C28" s="252" t="s">
        <v>38</v>
      </c>
      <c r="D28" s="249" t="s">
        <v>143</v>
      </c>
      <c r="E28" s="250"/>
      <c r="F28" s="251"/>
      <c r="G28" s="255" t="s">
        <v>39</v>
      </c>
      <c r="H28" s="255"/>
      <c r="I28" s="255"/>
      <c r="J28" s="255"/>
      <c r="K28" s="255"/>
      <c r="L28" s="255"/>
      <c r="M28" s="255"/>
      <c r="N28" s="255"/>
      <c r="O28" s="255"/>
      <c r="P28" s="255"/>
      <c r="Q28" s="17"/>
      <c r="R28" s="17"/>
    </row>
    <row r="29" spans="3:18" x14ac:dyDescent="0.25">
      <c r="C29" s="253"/>
      <c r="D29" s="239">
        <v>0</v>
      </c>
      <c r="E29" s="239"/>
      <c r="F29" s="239"/>
      <c r="G29" s="24">
        <v>1</v>
      </c>
      <c r="H29" s="25">
        <v>2</v>
      </c>
      <c r="I29" s="25">
        <v>3</v>
      </c>
      <c r="J29" s="25">
        <v>4</v>
      </c>
      <c r="K29" s="25">
        <v>5</v>
      </c>
      <c r="L29" s="25">
        <v>6</v>
      </c>
      <c r="M29" s="25">
        <v>7</v>
      </c>
      <c r="N29" s="25">
        <v>8</v>
      </c>
      <c r="O29" s="25">
        <v>9</v>
      </c>
      <c r="P29" s="24">
        <v>10</v>
      </c>
    </row>
    <row r="30" spans="3:18" x14ac:dyDescent="0.25">
      <c r="C30" s="254"/>
      <c r="D30" s="95">
        <v>2024</v>
      </c>
      <c r="E30" s="95">
        <v>2025</v>
      </c>
      <c r="F30" s="95">
        <v>2026</v>
      </c>
      <c r="G30" s="95">
        <v>2027</v>
      </c>
      <c r="H30" s="95">
        <v>2028</v>
      </c>
      <c r="I30" s="95">
        <v>2029</v>
      </c>
      <c r="J30" s="95">
        <v>2030</v>
      </c>
      <c r="K30" s="95">
        <v>2031</v>
      </c>
      <c r="L30" s="95">
        <v>2032</v>
      </c>
      <c r="M30" s="95">
        <v>2033</v>
      </c>
      <c r="N30" s="95">
        <v>2034</v>
      </c>
      <c r="O30" s="95">
        <v>2035</v>
      </c>
      <c r="P30" s="95">
        <v>2036</v>
      </c>
    </row>
    <row r="31" spans="3:18" x14ac:dyDescent="0.25">
      <c r="C31" s="28" t="s">
        <v>347</v>
      </c>
      <c r="D31" s="28">
        <f>+'POBLACION DE REFERENCIA'!C31</f>
        <v>507</v>
      </c>
      <c r="E31" s="28">
        <f>+'POBLACION DE REFERENCIA'!D31</f>
        <v>507</v>
      </c>
      <c r="F31" s="28">
        <f>+'POBLACION DE REFERENCIA'!E31</f>
        <v>507</v>
      </c>
      <c r="G31" s="194">
        <f>+'POBLACION DE REFERENCIA'!F31</f>
        <v>507</v>
      </c>
      <c r="H31" s="194">
        <f>+'POBLACION DE REFERENCIA'!G31</f>
        <v>508</v>
      </c>
      <c r="I31" s="194">
        <f>+'POBLACION DE REFERENCIA'!H31</f>
        <v>508</v>
      </c>
      <c r="J31" s="194">
        <f>+'POBLACION DE REFERENCIA'!I31</f>
        <v>508</v>
      </c>
      <c r="K31" s="194">
        <f>+'POBLACION DE REFERENCIA'!J31</f>
        <v>508</v>
      </c>
      <c r="L31" s="194">
        <f>+'POBLACION DE REFERENCIA'!K31</f>
        <v>508</v>
      </c>
      <c r="M31" s="194">
        <f>+'POBLACION DE REFERENCIA'!L31</f>
        <v>508</v>
      </c>
      <c r="N31" s="194">
        <f>+'POBLACION DE REFERENCIA'!M31</f>
        <v>509</v>
      </c>
      <c r="O31" s="194">
        <f>+'POBLACION DE REFERENCIA'!N31</f>
        <v>509</v>
      </c>
      <c r="P31" s="194">
        <f>+'POBLACION DE REFERENCIA'!O31</f>
        <v>509</v>
      </c>
    </row>
    <row r="32" spans="3:18" x14ac:dyDescent="0.25">
      <c r="C32" s="182" t="s">
        <v>431</v>
      </c>
      <c r="D32" s="183">
        <f>+'POBLACION DE REFERENCIA'!C32*48%</f>
        <v>243.35999999999999</v>
      </c>
      <c r="E32" s="183">
        <f>ROUND(($D$32*(1+$A$73)^(E30-$D$30)),0)</f>
        <v>243</v>
      </c>
      <c r="F32" s="183">
        <f t="shared" ref="F32:P32" si="1">ROUND(($D$32*(1+$A$73)^(F30-$D$30)),0)</f>
        <v>244</v>
      </c>
      <c r="G32" s="200">
        <f t="shared" si="1"/>
        <v>244</v>
      </c>
      <c r="H32" s="199">
        <f t="shared" si="1"/>
        <v>244</v>
      </c>
      <c r="I32" s="199">
        <f t="shared" si="1"/>
        <v>244</v>
      </c>
      <c r="J32" s="199">
        <f t="shared" si="1"/>
        <v>244</v>
      </c>
      <c r="K32" s="199">
        <f t="shared" si="1"/>
        <v>244</v>
      </c>
      <c r="L32" s="199">
        <f t="shared" si="1"/>
        <v>244</v>
      </c>
      <c r="M32" s="199">
        <f t="shared" si="1"/>
        <v>244</v>
      </c>
      <c r="N32" s="199">
        <f t="shared" si="1"/>
        <v>244</v>
      </c>
      <c r="O32" s="199">
        <f t="shared" si="1"/>
        <v>244</v>
      </c>
      <c r="P32" s="199">
        <f t="shared" si="1"/>
        <v>244</v>
      </c>
    </row>
    <row r="34" spans="3:18" x14ac:dyDescent="0.25">
      <c r="C34" s="252" t="s">
        <v>38</v>
      </c>
      <c r="D34" s="249" t="s">
        <v>143</v>
      </c>
      <c r="E34" s="250"/>
      <c r="F34" s="251"/>
      <c r="G34" s="255" t="s">
        <v>39</v>
      </c>
      <c r="H34" s="255"/>
      <c r="I34" s="255"/>
      <c r="J34" s="255"/>
      <c r="K34" s="255"/>
      <c r="L34" s="255"/>
      <c r="M34" s="255"/>
      <c r="N34" s="255"/>
      <c r="O34" s="255"/>
      <c r="P34" s="255"/>
      <c r="Q34" s="17"/>
      <c r="R34" s="17"/>
    </row>
    <row r="35" spans="3:18" x14ac:dyDescent="0.25">
      <c r="C35" s="253"/>
      <c r="D35" s="239">
        <v>0</v>
      </c>
      <c r="E35" s="239"/>
      <c r="F35" s="239"/>
      <c r="G35" s="24">
        <v>1</v>
      </c>
      <c r="H35" s="25">
        <v>2</v>
      </c>
      <c r="I35" s="25">
        <v>3</v>
      </c>
      <c r="J35" s="25">
        <v>4</v>
      </c>
      <c r="K35" s="25">
        <v>5</v>
      </c>
      <c r="L35" s="25">
        <v>6</v>
      </c>
      <c r="M35" s="25">
        <v>7</v>
      </c>
      <c r="N35" s="25">
        <v>8</v>
      </c>
      <c r="O35" s="25">
        <v>9</v>
      </c>
      <c r="P35" s="24">
        <v>10</v>
      </c>
    </row>
    <row r="36" spans="3:18" x14ac:dyDescent="0.25">
      <c r="C36" s="254"/>
      <c r="D36" s="95">
        <v>2024</v>
      </c>
      <c r="E36" s="95">
        <v>2025</v>
      </c>
      <c r="F36" s="95">
        <v>2026</v>
      </c>
      <c r="G36" s="95">
        <v>2027</v>
      </c>
      <c r="H36" s="95">
        <v>2028</v>
      </c>
      <c r="I36" s="95">
        <v>2029</v>
      </c>
      <c r="J36" s="95">
        <v>2030</v>
      </c>
      <c r="K36" s="95">
        <v>2031</v>
      </c>
      <c r="L36" s="95">
        <v>2032</v>
      </c>
      <c r="M36" s="95">
        <v>2033</v>
      </c>
      <c r="N36" s="95">
        <v>2034</v>
      </c>
      <c r="O36" s="95">
        <v>2035</v>
      </c>
      <c r="P36" s="95">
        <v>2036</v>
      </c>
    </row>
    <row r="37" spans="3:18" x14ac:dyDescent="0.25">
      <c r="C37" s="28" t="s">
        <v>348</v>
      </c>
      <c r="D37" s="116">
        <f t="shared" ref="D37:P37" si="2">+D38</f>
        <v>243.35999999999999</v>
      </c>
      <c r="E37" s="116">
        <f t="shared" si="2"/>
        <v>243</v>
      </c>
      <c r="F37" s="116">
        <f t="shared" si="2"/>
        <v>244</v>
      </c>
      <c r="G37" s="132">
        <f t="shared" si="2"/>
        <v>244</v>
      </c>
      <c r="H37" s="132">
        <f t="shared" si="2"/>
        <v>244</v>
      </c>
      <c r="I37" s="132">
        <f t="shared" si="2"/>
        <v>244</v>
      </c>
      <c r="J37" s="132">
        <f t="shared" si="2"/>
        <v>244</v>
      </c>
      <c r="K37" s="132">
        <f t="shared" si="2"/>
        <v>244</v>
      </c>
      <c r="L37" s="132">
        <f t="shared" si="2"/>
        <v>244</v>
      </c>
      <c r="M37" s="132">
        <f t="shared" si="2"/>
        <v>244</v>
      </c>
      <c r="N37" s="132">
        <f t="shared" si="2"/>
        <v>244</v>
      </c>
      <c r="O37" s="132">
        <f t="shared" si="2"/>
        <v>244</v>
      </c>
      <c r="P37" s="132">
        <f t="shared" si="2"/>
        <v>244</v>
      </c>
    </row>
    <row r="38" spans="3:18" x14ac:dyDescent="0.25">
      <c r="C38" s="182" t="s">
        <v>432</v>
      </c>
      <c r="D38" s="183">
        <f>+'POBLACION DE REFERENCIA'!C38*48%</f>
        <v>243.35999999999999</v>
      </c>
      <c r="E38" s="183">
        <f t="shared" ref="E38:M38" si="3">ROUND(($D$38*(1+$A$73)^(E36-$D$36)),0)</f>
        <v>243</v>
      </c>
      <c r="F38" s="183">
        <f t="shared" si="3"/>
        <v>244</v>
      </c>
      <c r="G38" s="200">
        <f t="shared" si="3"/>
        <v>244</v>
      </c>
      <c r="H38" s="199">
        <f t="shared" si="3"/>
        <v>244</v>
      </c>
      <c r="I38" s="199">
        <f t="shared" si="3"/>
        <v>244</v>
      </c>
      <c r="J38" s="199">
        <f t="shared" si="3"/>
        <v>244</v>
      </c>
      <c r="K38" s="199">
        <f t="shared" si="3"/>
        <v>244</v>
      </c>
      <c r="L38" s="199">
        <f t="shared" si="3"/>
        <v>244</v>
      </c>
      <c r="M38" s="199">
        <f t="shared" si="3"/>
        <v>244</v>
      </c>
      <c r="N38" s="199">
        <f t="shared" ref="N38:P38" si="4">ROUND(($D$38*(1+$A$73)^(N36-$D$36)),0)</f>
        <v>244</v>
      </c>
      <c r="O38" s="199">
        <f t="shared" si="4"/>
        <v>244</v>
      </c>
      <c r="P38" s="199">
        <f t="shared" si="4"/>
        <v>244</v>
      </c>
    </row>
    <row r="39" spans="3:18" ht="28.5" customHeight="1" x14ac:dyDescent="0.25"/>
    <row r="40" spans="3:18" x14ac:dyDescent="0.25">
      <c r="C40" s="239" t="s">
        <v>24</v>
      </c>
      <c r="D40" s="249" t="s">
        <v>143</v>
      </c>
      <c r="E40" s="250"/>
      <c r="F40" s="251"/>
      <c r="G40" s="255" t="s">
        <v>39</v>
      </c>
      <c r="H40" s="255"/>
      <c r="I40" s="255"/>
      <c r="J40" s="255"/>
      <c r="K40" s="255"/>
      <c r="L40" s="255"/>
      <c r="M40" s="255"/>
      <c r="N40" s="255"/>
      <c r="O40" s="255"/>
      <c r="P40" s="255"/>
    </row>
    <row r="41" spans="3:18" x14ac:dyDescent="0.25">
      <c r="C41" s="239"/>
      <c r="D41" s="259">
        <v>0</v>
      </c>
      <c r="E41" s="260"/>
      <c r="F41" s="261"/>
      <c r="G41" s="24">
        <v>1</v>
      </c>
      <c r="H41" s="24">
        <v>2</v>
      </c>
      <c r="I41" s="24">
        <v>3</v>
      </c>
      <c r="J41" s="24">
        <v>4</v>
      </c>
      <c r="K41" s="24">
        <v>5</v>
      </c>
      <c r="L41" s="24">
        <v>6</v>
      </c>
      <c r="M41" s="24">
        <v>7</v>
      </c>
      <c r="N41" s="24">
        <v>8</v>
      </c>
      <c r="O41" s="24">
        <v>9</v>
      </c>
      <c r="P41" s="24">
        <v>10</v>
      </c>
    </row>
    <row r="42" spans="3:18" x14ac:dyDescent="0.25">
      <c r="C42" s="239"/>
      <c r="D42" s="127">
        <f>+D36</f>
        <v>2024</v>
      </c>
      <c r="E42" s="127">
        <f t="shared" ref="E42:P42" si="5">+E36</f>
        <v>2025</v>
      </c>
      <c r="F42" s="127">
        <f t="shared" si="5"/>
        <v>2026</v>
      </c>
      <c r="G42" s="127">
        <f t="shared" si="5"/>
        <v>2027</v>
      </c>
      <c r="H42" s="127">
        <f t="shared" si="5"/>
        <v>2028</v>
      </c>
      <c r="I42" s="127">
        <f t="shared" si="5"/>
        <v>2029</v>
      </c>
      <c r="J42" s="127">
        <f t="shared" si="5"/>
        <v>2030</v>
      </c>
      <c r="K42" s="127">
        <f t="shared" si="5"/>
        <v>2031</v>
      </c>
      <c r="L42" s="127">
        <f t="shared" si="5"/>
        <v>2032</v>
      </c>
      <c r="M42" s="127">
        <f t="shared" si="5"/>
        <v>2033</v>
      </c>
      <c r="N42" s="127">
        <f t="shared" si="5"/>
        <v>2034</v>
      </c>
      <c r="O42" s="127">
        <f t="shared" si="5"/>
        <v>2035</v>
      </c>
      <c r="P42" s="127">
        <f t="shared" si="5"/>
        <v>2036</v>
      </c>
    </row>
    <row r="43" spans="3:18" x14ac:dyDescent="0.25">
      <c r="C43" s="160" t="s">
        <v>241</v>
      </c>
      <c r="D43" s="98">
        <f>+SUM(D44:D50)</f>
        <v>107</v>
      </c>
      <c r="E43" s="98">
        <f t="shared" ref="E43:P43" si="6">+SUM(E44:E50)</f>
        <v>107</v>
      </c>
      <c r="F43" s="98">
        <f t="shared" si="6"/>
        <v>107</v>
      </c>
      <c r="G43" s="110">
        <f t="shared" si="6"/>
        <v>107</v>
      </c>
      <c r="H43" s="106">
        <f t="shared" si="6"/>
        <v>107</v>
      </c>
      <c r="I43" s="106">
        <f t="shared" si="6"/>
        <v>107</v>
      </c>
      <c r="J43" s="106">
        <f t="shared" si="6"/>
        <v>107</v>
      </c>
      <c r="K43" s="106">
        <f t="shared" si="6"/>
        <v>107</v>
      </c>
      <c r="L43" s="106">
        <f t="shared" si="6"/>
        <v>107</v>
      </c>
      <c r="M43" s="106">
        <f t="shared" si="6"/>
        <v>107</v>
      </c>
      <c r="N43" s="106">
        <f t="shared" si="6"/>
        <v>107</v>
      </c>
      <c r="O43" s="106">
        <f t="shared" si="6"/>
        <v>107</v>
      </c>
      <c r="P43" s="106">
        <f t="shared" si="6"/>
        <v>107</v>
      </c>
    </row>
    <row r="44" spans="3:18" x14ac:dyDescent="0.25">
      <c r="C44" s="105" t="s">
        <v>199</v>
      </c>
      <c r="D44" s="96">
        <f>+'POBLACION DE REFERENCIA'!C44</f>
        <v>3</v>
      </c>
      <c r="E44" s="96">
        <f>+'POBLACION DE REFERENCIA'!D44</f>
        <v>3</v>
      </c>
      <c r="F44" s="118">
        <f>+'POBLACION DE REFERENCIA'!E44</f>
        <v>3</v>
      </c>
      <c r="G44" s="187">
        <f>+'POBLACION DE REFERENCIA'!F44</f>
        <v>3</v>
      </c>
      <c r="H44" s="186">
        <f>+'POBLACION DE REFERENCIA'!G44</f>
        <v>3</v>
      </c>
      <c r="I44" s="186">
        <f>+'POBLACION DE REFERENCIA'!H44</f>
        <v>3</v>
      </c>
      <c r="J44" s="186">
        <f>+'POBLACION DE REFERENCIA'!I44</f>
        <v>3</v>
      </c>
      <c r="K44" s="186">
        <f>+'POBLACION DE REFERENCIA'!J44</f>
        <v>3</v>
      </c>
      <c r="L44" s="186">
        <f>+'POBLACION DE REFERENCIA'!K44</f>
        <v>3</v>
      </c>
      <c r="M44" s="186">
        <f>+'POBLACION DE REFERENCIA'!L44</f>
        <v>3</v>
      </c>
      <c r="N44" s="186">
        <f>+'POBLACION DE REFERENCIA'!M44</f>
        <v>3</v>
      </c>
      <c r="O44" s="186">
        <f>+'POBLACION DE REFERENCIA'!N44</f>
        <v>3</v>
      </c>
      <c r="P44" s="186">
        <f>+'POBLACION DE REFERENCIA'!O44</f>
        <v>3</v>
      </c>
    </row>
    <row r="45" spans="3:18" x14ac:dyDescent="0.25">
      <c r="C45" s="105" t="s">
        <v>198</v>
      </c>
      <c r="D45" s="96">
        <f>+'POBLACION DE REFERENCIA'!C45</f>
        <v>7</v>
      </c>
      <c r="E45" s="96">
        <f>+'POBLACION DE REFERENCIA'!D45</f>
        <v>7</v>
      </c>
      <c r="F45" s="118">
        <f>+'POBLACION DE REFERENCIA'!E45</f>
        <v>7</v>
      </c>
      <c r="G45" s="185">
        <f>+'POBLACION DE REFERENCIA'!F45</f>
        <v>7</v>
      </c>
      <c r="H45" s="122">
        <f>+'POBLACION DE REFERENCIA'!G45</f>
        <v>7</v>
      </c>
      <c r="I45" s="122">
        <f>+'POBLACION DE REFERENCIA'!H45</f>
        <v>7</v>
      </c>
      <c r="J45" s="122">
        <f>+'POBLACION DE REFERENCIA'!I45</f>
        <v>7</v>
      </c>
      <c r="K45" s="122">
        <f>+'POBLACION DE REFERENCIA'!J45</f>
        <v>7</v>
      </c>
      <c r="L45" s="122">
        <f>+'POBLACION DE REFERENCIA'!K45</f>
        <v>7</v>
      </c>
      <c r="M45" s="122">
        <f>+'POBLACION DE REFERENCIA'!L45</f>
        <v>7</v>
      </c>
      <c r="N45" s="122">
        <f>+'POBLACION DE REFERENCIA'!M45</f>
        <v>7</v>
      </c>
      <c r="O45" s="122">
        <f>+'POBLACION DE REFERENCIA'!N45</f>
        <v>7</v>
      </c>
      <c r="P45" s="122">
        <f>+'POBLACION DE REFERENCIA'!O45</f>
        <v>7</v>
      </c>
    </row>
    <row r="46" spans="3:18" x14ac:dyDescent="0.25">
      <c r="C46" s="51" t="s">
        <v>34</v>
      </c>
      <c r="D46" s="96">
        <f>+'POBLACION DE REFERENCIA'!C46</f>
        <v>5</v>
      </c>
      <c r="E46" s="96">
        <f>+'POBLACION DE REFERENCIA'!D46</f>
        <v>5</v>
      </c>
      <c r="F46" s="118">
        <f>+'POBLACION DE REFERENCIA'!E46</f>
        <v>5</v>
      </c>
      <c r="G46" s="185">
        <f>+'POBLACION DE REFERENCIA'!F46</f>
        <v>5</v>
      </c>
      <c r="H46" s="122">
        <f>+'POBLACION DE REFERENCIA'!G46</f>
        <v>5</v>
      </c>
      <c r="I46" s="122">
        <f>+'POBLACION DE REFERENCIA'!H46</f>
        <v>5</v>
      </c>
      <c r="J46" s="122">
        <f>+'POBLACION DE REFERENCIA'!I46</f>
        <v>5</v>
      </c>
      <c r="K46" s="122">
        <f>+'POBLACION DE REFERENCIA'!J46</f>
        <v>5</v>
      </c>
      <c r="L46" s="122">
        <f>+'POBLACION DE REFERENCIA'!K46</f>
        <v>5</v>
      </c>
      <c r="M46" s="122">
        <f>+'POBLACION DE REFERENCIA'!L46</f>
        <v>5</v>
      </c>
      <c r="N46" s="122">
        <f>+'POBLACION DE REFERENCIA'!M46</f>
        <v>5</v>
      </c>
      <c r="O46" s="122">
        <f>+'POBLACION DE REFERENCIA'!N46</f>
        <v>5</v>
      </c>
      <c r="P46" s="122">
        <f>+'POBLACION DE REFERENCIA'!O46</f>
        <v>5</v>
      </c>
    </row>
    <row r="47" spans="3:18" x14ac:dyDescent="0.25">
      <c r="C47" s="51" t="s">
        <v>29</v>
      </c>
      <c r="D47" s="96">
        <f>+'POBLACION DE REFERENCIA'!C47</f>
        <v>13</v>
      </c>
      <c r="E47" s="96">
        <f>+'POBLACION DE REFERENCIA'!D47</f>
        <v>13</v>
      </c>
      <c r="F47" s="118">
        <f>+'POBLACION DE REFERENCIA'!E47</f>
        <v>13</v>
      </c>
      <c r="G47" s="185">
        <f>+'POBLACION DE REFERENCIA'!F47</f>
        <v>13</v>
      </c>
      <c r="H47" s="122">
        <f>+'POBLACION DE REFERENCIA'!G47</f>
        <v>13</v>
      </c>
      <c r="I47" s="122">
        <f>+'POBLACION DE REFERENCIA'!H47</f>
        <v>13</v>
      </c>
      <c r="J47" s="122">
        <f>+'POBLACION DE REFERENCIA'!I47</f>
        <v>13</v>
      </c>
      <c r="K47" s="122">
        <f>+'POBLACION DE REFERENCIA'!J47</f>
        <v>13</v>
      </c>
      <c r="L47" s="122">
        <f>+'POBLACION DE REFERENCIA'!K47</f>
        <v>13</v>
      </c>
      <c r="M47" s="122">
        <f>+'POBLACION DE REFERENCIA'!L47</f>
        <v>13</v>
      </c>
      <c r="N47" s="122">
        <f>+'POBLACION DE REFERENCIA'!M47</f>
        <v>13</v>
      </c>
      <c r="O47" s="122">
        <f>+'POBLACION DE REFERENCIA'!N47</f>
        <v>13</v>
      </c>
      <c r="P47" s="122">
        <f>+'POBLACION DE REFERENCIA'!O47</f>
        <v>13</v>
      </c>
    </row>
    <row r="48" spans="3:18" x14ac:dyDescent="0.25">
      <c r="C48" s="51" t="s">
        <v>25</v>
      </c>
      <c r="D48" s="96">
        <f>+'POBLACION DE REFERENCIA'!C48</f>
        <v>15</v>
      </c>
      <c r="E48" s="96">
        <f>+'POBLACION DE REFERENCIA'!D48</f>
        <v>15</v>
      </c>
      <c r="F48" s="118">
        <f>+'POBLACION DE REFERENCIA'!E48</f>
        <v>15</v>
      </c>
      <c r="G48" s="185">
        <f>+'POBLACION DE REFERENCIA'!F48</f>
        <v>15</v>
      </c>
      <c r="H48" s="122">
        <f>+'POBLACION DE REFERENCIA'!G48</f>
        <v>15</v>
      </c>
      <c r="I48" s="122">
        <f>+'POBLACION DE REFERENCIA'!H48</f>
        <v>15</v>
      </c>
      <c r="J48" s="122">
        <f>+'POBLACION DE REFERENCIA'!I48</f>
        <v>15</v>
      </c>
      <c r="K48" s="122">
        <f>+'POBLACION DE REFERENCIA'!J48</f>
        <v>15</v>
      </c>
      <c r="L48" s="122">
        <f>+'POBLACION DE REFERENCIA'!K48</f>
        <v>15</v>
      </c>
      <c r="M48" s="122">
        <f>+'POBLACION DE REFERENCIA'!L48</f>
        <v>15</v>
      </c>
      <c r="N48" s="122">
        <f>+'POBLACION DE REFERENCIA'!M48</f>
        <v>15</v>
      </c>
      <c r="O48" s="122">
        <f>+'POBLACION DE REFERENCIA'!N48</f>
        <v>15</v>
      </c>
      <c r="P48" s="122">
        <f>+'POBLACION DE REFERENCIA'!O48</f>
        <v>15</v>
      </c>
    </row>
    <row r="49" spans="2:16" x14ac:dyDescent="0.25">
      <c r="C49" s="51" t="s">
        <v>26</v>
      </c>
      <c r="D49" s="96">
        <f>+'POBLACION DE REFERENCIA'!C49</f>
        <v>13</v>
      </c>
      <c r="E49" s="96">
        <f>+'POBLACION DE REFERENCIA'!D49</f>
        <v>13</v>
      </c>
      <c r="F49" s="118">
        <f>+'POBLACION DE REFERENCIA'!E49</f>
        <v>13</v>
      </c>
      <c r="G49" s="185">
        <f>+'POBLACION DE REFERENCIA'!F49</f>
        <v>13</v>
      </c>
      <c r="H49" s="122">
        <f>+'POBLACION DE REFERENCIA'!G49</f>
        <v>13</v>
      </c>
      <c r="I49" s="122">
        <f>+'POBLACION DE REFERENCIA'!H49</f>
        <v>13</v>
      </c>
      <c r="J49" s="122">
        <f>+'POBLACION DE REFERENCIA'!I49</f>
        <v>13</v>
      </c>
      <c r="K49" s="122">
        <f>+'POBLACION DE REFERENCIA'!J49</f>
        <v>13</v>
      </c>
      <c r="L49" s="122">
        <f>+'POBLACION DE REFERENCIA'!K49</f>
        <v>13</v>
      </c>
      <c r="M49" s="122">
        <f>+'POBLACION DE REFERENCIA'!L49</f>
        <v>13</v>
      </c>
      <c r="N49" s="122">
        <f>+'POBLACION DE REFERENCIA'!M49</f>
        <v>13</v>
      </c>
      <c r="O49" s="122">
        <f>+'POBLACION DE REFERENCIA'!N49</f>
        <v>13</v>
      </c>
      <c r="P49" s="122">
        <f>+'POBLACION DE REFERENCIA'!O49</f>
        <v>13</v>
      </c>
    </row>
    <row r="50" spans="2:16" x14ac:dyDescent="0.25">
      <c r="C50" s="51" t="s">
        <v>196</v>
      </c>
      <c r="D50" s="96">
        <f>+'POBLACION DE REFERENCIA'!C50</f>
        <v>51</v>
      </c>
      <c r="E50" s="96">
        <f>+'POBLACION DE REFERENCIA'!D50</f>
        <v>51</v>
      </c>
      <c r="F50" s="118">
        <f>+'POBLACION DE REFERENCIA'!E50</f>
        <v>51</v>
      </c>
      <c r="G50" s="179">
        <f>+'POBLACION DE REFERENCIA'!F50</f>
        <v>51</v>
      </c>
      <c r="H50" s="184">
        <f>+'POBLACION DE REFERENCIA'!G50</f>
        <v>51</v>
      </c>
      <c r="I50" s="184">
        <f>+'POBLACION DE REFERENCIA'!H50</f>
        <v>51</v>
      </c>
      <c r="J50" s="184">
        <f>+'POBLACION DE REFERENCIA'!I50</f>
        <v>51</v>
      </c>
      <c r="K50" s="184">
        <f>+'POBLACION DE REFERENCIA'!J50</f>
        <v>51</v>
      </c>
      <c r="L50" s="184">
        <f>+'POBLACION DE REFERENCIA'!K50</f>
        <v>51</v>
      </c>
      <c r="M50" s="184">
        <f>+'POBLACION DE REFERENCIA'!L50</f>
        <v>51</v>
      </c>
      <c r="N50" s="184">
        <f>+'POBLACION DE REFERENCIA'!M50</f>
        <v>51</v>
      </c>
      <c r="O50" s="184">
        <f>+'POBLACION DE REFERENCIA'!N50</f>
        <v>51</v>
      </c>
      <c r="P50" s="184">
        <f>+'POBLACION DE REFERENCIA'!O50</f>
        <v>51</v>
      </c>
    </row>
    <row r="52" spans="2:16" x14ac:dyDescent="0.25">
      <c r="C52" s="239" t="s">
        <v>24</v>
      </c>
      <c r="D52" s="249" t="s">
        <v>143</v>
      </c>
      <c r="E52" s="250"/>
      <c r="F52" s="251"/>
      <c r="G52" s="255" t="s">
        <v>39</v>
      </c>
      <c r="H52" s="255"/>
      <c r="I52" s="255"/>
      <c r="J52" s="255"/>
      <c r="K52" s="255"/>
      <c r="L52" s="255"/>
      <c r="M52" s="255"/>
      <c r="N52" s="255"/>
      <c r="O52" s="255"/>
      <c r="P52" s="255"/>
    </row>
    <row r="53" spans="2:16" x14ac:dyDescent="0.25">
      <c r="C53" s="239"/>
      <c r="D53" s="259">
        <v>0</v>
      </c>
      <c r="E53" s="260"/>
      <c r="F53" s="261"/>
      <c r="G53" s="24">
        <v>1</v>
      </c>
      <c r="H53" s="24">
        <v>2</v>
      </c>
      <c r="I53" s="24">
        <v>3</v>
      </c>
      <c r="J53" s="24">
        <v>4</v>
      </c>
      <c r="K53" s="24">
        <v>5</v>
      </c>
      <c r="L53" s="24">
        <v>6</v>
      </c>
      <c r="M53" s="24">
        <v>7</v>
      </c>
      <c r="N53" s="24">
        <v>8</v>
      </c>
      <c r="O53" s="24">
        <v>9</v>
      </c>
      <c r="P53" s="24">
        <v>10</v>
      </c>
    </row>
    <row r="54" spans="2:16" x14ac:dyDescent="0.25">
      <c r="C54" s="239"/>
      <c r="D54" s="95">
        <f>+D42</f>
        <v>2024</v>
      </c>
      <c r="E54" s="95">
        <f t="shared" ref="E54:P54" si="7">+E42</f>
        <v>2025</v>
      </c>
      <c r="F54" s="95">
        <f t="shared" si="7"/>
        <v>2026</v>
      </c>
      <c r="G54" s="95">
        <f t="shared" si="7"/>
        <v>2027</v>
      </c>
      <c r="H54" s="95">
        <f t="shared" si="7"/>
        <v>2028</v>
      </c>
      <c r="I54" s="95">
        <f t="shared" si="7"/>
        <v>2029</v>
      </c>
      <c r="J54" s="95">
        <f t="shared" si="7"/>
        <v>2030</v>
      </c>
      <c r="K54" s="95">
        <f t="shared" si="7"/>
        <v>2031</v>
      </c>
      <c r="L54" s="95">
        <f t="shared" si="7"/>
        <v>2032</v>
      </c>
      <c r="M54" s="95">
        <f t="shared" si="7"/>
        <v>2033</v>
      </c>
      <c r="N54" s="95">
        <f t="shared" si="7"/>
        <v>2034</v>
      </c>
      <c r="O54" s="95">
        <f t="shared" si="7"/>
        <v>2035</v>
      </c>
      <c r="P54" s="95">
        <f t="shared" si="7"/>
        <v>2036</v>
      </c>
    </row>
    <row r="55" spans="2:16" x14ac:dyDescent="0.25">
      <c r="B55" s="93"/>
      <c r="C55" s="99" t="s">
        <v>192</v>
      </c>
      <c r="D55" s="106">
        <f>+SUM(D56:D60)</f>
        <v>43</v>
      </c>
      <c r="E55" s="106">
        <f t="shared" ref="E55:P55" si="8">+SUM(E56:E60)</f>
        <v>43</v>
      </c>
      <c r="F55" s="143">
        <f t="shared" si="8"/>
        <v>43</v>
      </c>
      <c r="G55" s="106">
        <f t="shared" si="8"/>
        <v>43</v>
      </c>
      <c r="H55" s="106">
        <f t="shared" si="8"/>
        <v>43</v>
      </c>
      <c r="I55" s="106">
        <f t="shared" si="8"/>
        <v>43</v>
      </c>
      <c r="J55" s="106">
        <f t="shared" si="8"/>
        <v>43</v>
      </c>
      <c r="K55" s="106">
        <f t="shared" si="8"/>
        <v>43</v>
      </c>
      <c r="L55" s="106">
        <f t="shared" si="8"/>
        <v>43</v>
      </c>
      <c r="M55" s="106">
        <f t="shared" si="8"/>
        <v>43</v>
      </c>
      <c r="N55" s="106">
        <f t="shared" si="8"/>
        <v>43</v>
      </c>
      <c r="O55" s="106">
        <f t="shared" si="8"/>
        <v>43</v>
      </c>
      <c r="P55" s="106">
        <f t="shared" si="8"/>
        <v>43</v>
      </c>
    </row>
    <row r="56" spans="2:16" x14ac:dyDescent="0.25">
      <c r="C56" s="105" t="s">
        <v>201</v>
      </c>
      <c r="D56" s="96">
        <f>+'POBLACION DE REFERENCIA'!C56</f>
        <v>3</v>
      </c>
      <c r="E56" s="96">
        <f>+'POBLACION DE REFERENCIA'!D56</f>
        <v>3</v>
      </c>
      <c r="F56" s="118">
        <f>+'POBLACION DE REFERENCIA'!E56</f>
        <v>3</v>
      </c>
      <c r="G56" s="187">
        <f>+'POBLACION DE REFERENCIA'!F56</f>
        <v>3</v>
      </c>
      <c r="H56" s="186">
        <f>+'POBLACION DE REFERENCIA'!G56</f>
        <v>3</v>
      </c>
      <c r="I56" s="186">
        <f>+'POBLACION DE REFERENCIA'!H56</f>
        <v>3</v>
      </c>
      <c r="J56" s="186">
        <f>+'POBLACION DE REFERENCIA'!I56</f>
        <v>3</v>
      </c>
      <c r="K56" s="186">
        <f>+'POBLACION DE REFERENCIA'!J56</f>
        <v>3</v>
      </c>
      <c r="L56" s="186">
        <f>+'POBLACION DE REFERENCIA'!K56</f>
        <v>3</v>
      </c>
      <c r="M56" s="186">
        <f>+'POBLACION DE REFERENCIA'!L56</f>
        <v>3</v>
      </c>
      <c r="N56" s="186">
        <f>+'POBLACION DE REFERENCIA'!M56</f>
        <v>3</v>
      </c>
      <c r="O56" s="186">
        <f>+'POBLACION DE REFERENCIA'!N56</f>
        <v>3</v>
      </c>
      <c r="P56" s="186">
        <f>+'POBLACION DE REFERENCIA'!O56</f>
        <v>3</v>
      </c>
    </row>
    <row r="57" spans="2:16" x14ac:dyDescent="0.25">
      <c r="C57" s="105" t="s">
        <v>373</v>
      </c>
      <c r="D57" s="96">
        <f>+'POBLACION DE REFERENCIA'!C57</f>
        <v>7</v>
      </c>
      <c r="E57" s="96">
        <f>+'POBLACION DE REFERENCIA'!D57</f>
        <v>7</v>
      </c>
      <c r="F57" s="118">
        <f>+'POBLACION DE REFERENCIA'!E57</f>
        <v>7</v>
      </c>
      <c r="G57" s="185">
        <f>+'POBLACION DE REFERENCIA'!F57</f>
        <v>7</v>
      </c>
      <c r="H57" s="122">
        <f>+'POBLACION DE REFERENCIA'!G57</f>
        <v>7</v>
      </c>
      <c r="I57" s="122">
        <f>+'POBLACION DE REFERENCIA'!H57</f>
        <v>7</v>
      </c>
      <c r="J57" s="122">
        <f>+'POBLACION DE REFERENCIA'!I57</f>
        <v>7</v>
      </c>
      <c r="K57" s="122">
        <f>+'POBLACION DE REFERENCIA'!J57</f>
        <v>7</v>
      </c>
      <c r="L57" s="122">
        <f>+'POBLACION DE REFERENCIA'!K57</f>
        <v>7</v>
      </c>
      <c r="M57" s="122">
        <f>+'POBLACION DE REFERENCIA'!L57</f>
        <v>7</v>
      </c>
      <c r="N57" s="122">
        <f>+'POBLACION DE REFERENCIA'!M57</f>
        <v>7</v>
      </c>
      <c r="O57" s="122">
        <f>+'POBLACION DE REFERENCIA'!N57</f>
        <v>7</v>
      </c>
      <c r="P57" s="122">
        <f>+'POBLACION DE REFERENCIA'!O57</f>
        <v>7</v>
      </c>
    </row>
    <row r="58" spans="2:16" x14ac:dyDescent="0.25">
      <c r="C58" s="51" t="s">
        <v>200</v>
      </c>
      <c r="D58" s="96">
        <f>+'POBLACION DE REFERENCIA'!C58</f>
        <v>5</v>
      </c>
      <c r="E58" s="96">
        <f>+'POBLACION DE REFERENCIA'!D58</f>
        <v>5</v>
      </c>
      <c r="F58" s="118">
        <f>+'POBLACION DE REFERENCIA'!E58</f>
        <v>5</v>
      </c>
      <c r="G58" s="185">
        <f>+'POBLACION DE REFERENCIA'!F58</f>
        <v>5</v>
      </c>
      <c r="H58" s="122">
        <f>+'POBLACION DE REFERENCIA'!G58</f>
        <v>5</v>
      </c>
      <c r="I58" s="122">
        <f>+'POBLACION DE REFERENCIA'!H58</f>
        <v>5</v>
      </c>
      <c r="J58" s="122">
        <f>+'POBLACION DE REFERENCIA'!I58</f>
        <v>5</v>
      </c>
      <c r="K58" s="122">
        <f>+'POBLACION DE REFERENCIA'!J58</f>
        <v>5</v>
      </c>
      <c r="L58" s="122">
        <f>+'POBLACION DE REFERENCIA'!K58</f>
        <v>5</v>
      </c>
      <c r="M58" s="122">
        <f>+'POBLACION DE REFERENCIA'!L58</f>
        <v>5</v>
      </c>
      <c r="N58" s="122">
        <f>+'POBLACION DE REFERENCIA'!M58</f>
        <v>5</v>
      </c>
      <c r="O58" s="122">
        <f>+'POBLACION DE REFERENCIA'!N58</f>
        <v>5</v>
      </c>
      <c r="P58" s="122">
        <f>+'POBLACION DE REFERENCIA'!O58</f>
        <v>5</v>
      </c>
    </row>
    <row r="59" spans="2:16" x14ac:dyDescent="0.25">
      <c r="C59" s="51" t="s">
        <v>29</v>
      </c>
      <c r="D59" s="96">
        <f>+'POBLACION DE REFERENCIA'!C59</f>
        <v>13</v>
      </c>
      <c r="E59" s="96">
        <f>+'POBLACION DE REFERENCIA'!D59</f>
        <v>13</v>
      </c>
      <c r="F59" s="118">
        <f>+'POBLACION DE REFERENCIA'!E59</f>
        <v>13</v>
      </c>
      <c r="G59" s="185">
        <f>+'POBLACION DE REFERENCIA'!F59</f>
        <v>13</v>
      </c>
      <c r="H59" s="122">
        <f>+'POBLACION DE REFERENCIA'!G59</f>
        <v>13</v>
      </c>
      <c r="I59" s="122">
        <f>+'POBLACION DE REFERENCIA'!H59</f>
        <v>13</v>
      </c>
      <c r="J59" s="122">
        <f>+'POBLACION DE REFERENCIA'!I59</f>
        <v>13</v>
      </c>
      <c r="K59" s="122">
        <f>+'POBLACION DE REFERENCIA'!J59</f>
        <v>13</v>
      </c>
      <c r="L59" s="122">
        <f>+'POBLACION DE REFERENCIA'!K59</f>
        <v>13</v>
      </c>
      <c r="M59" s="122">
        <f>+'POBLACION DE REFERENCIA'!L59</f>
        <v>13</v>
      </c>
      <c r="N59" s="122">
        <f>+'POBLACION DE REFERENCIA'!M59</f>
        <v>13</v>
      </c>
      <c r="O59" s="122">
        <f>+'POBLACION DE REFERENCIA'!N59</f>
        <v>13</v>
      </c>
      <c r="P59" s="122">
        <f>+'POBLACION DE REFERENCIA'!O59</f>
        <v>13</v>
      </c>
    </row>
    <row r="60" spans="2:16" x14ac:dyDescent="0.25">
      <c r="C60" s="51" t="s">
        <v>25</v>
      </c>
      <c r="D60" s="96">
        <f>+'POBLACION DE REFERENCIA'!C60</f>
        <v>15</v>
      </c>
      <c r="E60" s="96">
        <f>+'POBLACION DE REFERENCIA'!D60</f>
        <v>15</v>
      </c>
      <c r="F60" s="118">
        <f>+'POBLACION DE REFERENCIA'!E60</f>
        <v>15</v>
      </c>
      <c r="G60" s="179">
        <f>+'POBLACION DE REFERENCIA'!F60</f>
        <v>15</v>
      </c>
      <c r="H60" s="184">
        <f>+'POBLACION DE REFERENCIA'!G60</f>
        <v>15</v>
      </c>
      <c r="I60" s="184">
        <f>+'POBLACION DE REFERENCIA'!H60</f>
        <v>15</v>
      </c>
      <c r="J60" s="184">
        <f>+'POBLACION DE REFERENCIA'!I60</f>
        <v>15</v>
      </c>
      <c r="K60" s="184">
        <f>+'POBLACION DE REFERENCIA'!J60</f>
        <v>15</v>
      </c>
      <c r="L60" s="184">
        <f>+'POBLACION DE REFERENCIA'!K60</f>
        <v>15</v>
      </c>
      <c r="M60" s="184">
        <f>+'POBLACION DE REFERENCIA'!L60</f>
        <v>15</v>
      </c>
      <c r="N60" s="184">
        <f>+'POBLACION DE REFERENCIA'!M60</f>
        <v>15</v>
      </c>
      <c r="O60" s="184">
        <f>+'POBLACION DE REFERENCIA'!N60</f>
        <v>15</v>
      </c>
      <c r="P60" s="184">
        <f>+'POBLACION DE REFERENCIA'!O60</f>
        <v>15</v>
      </c>
    </row>
    <row r="62" spans="2:16" x14ac:dyDescent="0.25">
      <c r="C62" s="239" t="s">
        <v>24</v>
      </c>
      <c r="D62" s="249" t="s">
        <v>143</v>
      </c>
      <c r="E62" s="250"/>
      <c r="F62" s="251"/>
      <c r="G62" s="255" t="s">
        <v>39</v>
      </c>
      <c r="H62" s="255"/>
      <c r="I62" s="255"/>
      <c r="J62" s="255"/>
      <c r="K62" s="255"/>
      <c r="L62" s="255"/>
      <c r="M62" s="255"/>
      <c r="N62" s="255"/>
      <c r="O62" s="255"/>
      <c r="P62" s="255"/>
    </row>
    <row r="63" spans="2:16" x14ac:dyDescent="0.25">
      <c r="C63" s="239"/>
      <c r="D63" s="259">
        <v>0</v>
      </c>
      <c r="E63" s="260"/>
      <c r="F63" s="261"/>
      <c r="G63" s="24">
        <v>1</v>
      </c>
      <c r="H63" s="24">
        <v>2</v>
      </c>
      <c r="I63" s="24">
        <v>3</v>
      </c>
      <c r="J63" s="24">
        <v>4</v>
      </c>
      <c r="K63" s="24">
        <v>5</v>
      </c>
      <c r="L63" s="24">
        <v>6</v>
      </c>
      <c r="M63" s="24">
        <v>7</v>
      </c>
      <c r="N63" s="24">
        <v>8</v>
      </c>
      <c r="O63" s="24">
        <v>9</v>
      </c>
      <c r="P63" s="24">
        <v>10</v>
      </c>
    </row>
    <row r="64" spans="2:16" x14ac:dyDescent="0.25">
      <c r="C64" s="239"/>
      <c r="D64" s="20">
        <v>2024</v>
      </c>
      <c r="E64" s="20">
        <v>2025</v>
      </c>
      <c r="F64" s="20">
        <v>2026</v>
      </c>
      <c r="G64" s="20">
        <v>2027</v>
      </c>
      <c r="H64" s="20">
        <v>2028</v>
      </c>
      <c r="I64" s="20">
        <v>2029</v>
      </c>
      <c r="J64" s="20">
        <v>2030</v>
      </c>
      <c r="K64" s="20">
        <v>2031</v>
      </c>
      <c r="L64" s="20">
        <v>2032</v>
      </c>
      <c r="M64" s="20">
        <v>2033</v>
      </c>
      <c r="N64" s="20">
        <v>2034</v>
      </c>
      <c r="O64" s="20">
        <v>2035</v>
      </c>
      <c r="P64" s="20">
        <v>2036</v>
      </c>
    </row>
    <row r="65" spans="1:18" x14ac:dyDescent="0.25">
      <c r="C65" s="99" t="s">
        <v>242</v>
      </c>
      <c r="D65" s="97">
        <f t="shared" ref="D65:I65" si="9">+SUM(D66:D71)</f>
        <v>71</v>
      </c>
      <c r="E65" s="97">
        <f t="shared" si="9"/>
        <v>71</v>
      </c>
      <c r="F65" s="97">
        <f t="shared" si="9"/>
        <v>71</v>
      </c>
      <c r="G65" s="97">
        <f t="shared" si="9"/>
        <v>71</v>
      </c>
      <c r="H65" s="97">
        <f t="shared" si="9"/>
        <v>71</v>
      </c>
      <c r="I65" s="97">
        <f t="shared" si="9"/>
        <v>71</v>
      </c>
      <c r="J65" s="97">
        <f t="shared" ref="J65:P65" si="10">+SUM(J66:J71)</f>
        <v>71</v>
      </c>
      <c r="K65" s="97">
        <f t="shared" si="10"/>
        <v>71</v>
      </c>
      <c r="L65" s="97">
        <f t="shared" si="10"/>
        <v>71</v>
      </c>
      <c r="M65" s="97">
        <f t="shared" si="10"/>
        <v>71</v>
      </c>
      <c r="N65" s="97">
        <f t="shared" si="10"/>
        <v>71</v>
      </c>
      <c r="O65" s="97">
        <f t="shared" si="10"/>
        <v>71</v>
      </c>
      <c r="P65" s="97">
        <f t="shared" si="10"/>
        <v>71</v>
      </c>
    </row>
    <row r="66" spans="1:18" ht="16.5" customHeight="1" x14ac:dyDescent="0.25">
      <c r="C66" s="105" t="s">
        <v>373</v>
      </c>
      <c r="D66" s="96">
        <f>+'POBLACION DE REFERENCIA'!C66</f>
        <v>7</v>
      </c>
      <c r="E66" s="96">
        <f>+'POBLACION DE REFERENCIA'!D66</f>
        <v>7</v>
      </c>
      <c r="F66" s="118">
        <f>+'POBLACION DE REFERENCIA'!E66</f>
        <v>7</v>
      </c>
      <c r="G66" s="187">
        <f>+'POBLACION DE REFERENCIA'!F66</f>
        <v>7</v>
      </c>
      <c r="H66" s="186">
        <f>+'POBLACION DE REFERENCIA'!G66</f>
        <v>7</v>
      </c>
      <c r="I66" s="186">
        <f>+'POBLACION DE REFERENCIA'!H66</f>
        <v>7</v>
      </c>
      <c r="J66" s="186">
        <f>+'POBLACION DE REFERENCIA'!I66</f>
        <v>7</v>
      </c>
      <c r="K66" s="186">
        <f>+'POBLACION DE REFERENCIA'!J66</f>
        <v>7</v>
      </c>
      <c r="L66" s="186">
        <f>+'POBLACION DE REFERENCIA'!K66</f>
        <v>7</v>
      </c>
      <c r="M66" s="186">
        <f>+'POBLACION DE REFERENCIA'!L66</f>
        <v>7</v>
      </c>
      <c r="N66" s="186">
        <f>+'POBLACION DE REFERENCIA'!M66</f>
        <v>7</v>
      </c>
      <c r="O66" s="186">
        <f>+'POBLACION DE REFERENCIA'!N66</f>
        <v>7</v>
      </c>
      <c r="P66" s="186">
        <f>+'POBLACION DE REFERENCIA'!O66</f>
        <v>7</v>
      </c>
    </row>
    <row r="67" spans="1:18" ht="15" customHeight="1" x14ac:dyDescent="0.25">
      <c r="C67" s="51" t="s">
        <v>34</v>
      </c>
      <c r="D67" s="96">
        <f>+'POBLACION DE REFERENCIA'!C67</f>
        <v>5</v>
      </c>
      <c r="E67" s="96">
        <f>+'POBLACION DE REFERENCIA'!D67</f>
        <v>5</v>
      </c>
      <c r="F67" s="118">
        <f>+'POBLACION DE REFERENCIA'!E67</f>
        <v>5</v>
      </c>
      <c r="G67" s="185">
        <f>+'POBLACION DE REFERENCIA'!F67</f>
        <v>5</v>
      </c>
      <c r="H67" s="122">
        <f>+'POBLACION DE REFERENCIA'!G67</f>
        <v>5</v>
      </c>
      <c r="I67" s="122">
        <f>+'POBLACION DE REFERENCIA'!H67</f>
        <v>5</v>
      </c>
      <c r="J67" s="122">
        <f>+'POBLACION DE REFERENCIA'!I67</f>
        <v>5</v>
      </c>
      <c r="K67" s="122">
        <f>+'POBLACION DE REFERENCIA'!J67</f>
        <v>5</v>
      </c>
      <c r="L67" s="122">
        <f>+'POBLACION DE REFERENCIA'!K67</f>
        <v>5</v>
      </c>
      <c r="M67" s="122">
        <f>+'POBLACION DE REFERENCIA'!L67</f>
        <v>5</v>
      </c>
      <c r="N67" s="122">
        <f>+'POBLACION DE REFERENCIA'!M67</f>
        <v>5</v>
      </c>
      <c r="O67" s="122">
        <f>+'POBLACION DE REFERENCIA'!N67</f>
        <v>5</v>
      </c>
      <c r="P67" s="122">
        <f>+'POBLACION DE REFERENCIA'!O67</f>
        <v>5</v>
      </c>
    </row>
    <row r="68" spans="1:18" s="19" customFormat="1" x14ac:dyDescent="0.25">
      <c r="B68"/>
      <c r="C68" s="51" t="s">
        <v>29</v>
      </c>
      <c r="D68" s="96">
        <f>+'POBLACION DE REFERENCIA'!C68</f>
        <v>13</v>
      </c>
      <c r="E68" s="96">
        <f>+'POBLACION DE REFERENCIA'!D68</f>
        <v>13</v>
      </c>
      <c r="F68" s="118">
        <f>+'POBLACION DE REFERENCIA'!E68</f>
        <v>13</v>
      </c>
      <c r="G68" s="185">
        <f>+'POBLACION DE REFERENCIA'!F68</f>
        <v>13</v>
      </c>
      <c r="H68" s="122">
        <f>+'POBLACION DE REFERENCIA'!G68</f>
        <v>13</v>
      </c>
      <c r="I68" s="122">
        <f>+'POBLACION DE REFERENCIA'!H68</f>
        <v>13</v>
      </c>
      <c r="J68" s="122">
        <f>+'POBLACION DE REFERENCIA'!I68</f>
        <v>13</v>
      </c>
      <c r="K68" s="122">
        <f>+'POBLACION DE REFERENCIA'!J68</f>
        <v>13</v>
      </c>
      <c r="L68" s="122">
        <f>+'POBLACION DE REFERENCIA'!K68</f>
        <v>13</v>
      </c>
      <c r="M68" s="122">
        <f>+'POBLACION DE REFERENCIA'!L68</f>
        <v>13</v>
      </c>
      <c r="N68" s="122">
        <f>+'POBLACION DE REFERENCIA'!M68</f>
        <v>13</v>
      </c>
      <c r="O68" s="122">
        <f>+'POBLACION DE REFERENCIA'!N68</f>
        <v>13</v>
      </c>
      <c r="P68" s="122">
        <f>+'POBLACION DE REFERENCIA'!O68</f>
        <v>13</v>
      </c>
      <c r="Q68"/>
      <c r="R68"/>
    </row>
    <row r="69" spans="1:18" s="19" customFormat="1" x14ac:dyDescent="0.25">
      <c r="B69"/>
      <c r="C69" s="51" t="s">
        <v>25</v>
      </c>
      <c r="D69" s="96">
        <f>+'POBLACION DE REFERENCIA'!C69</f>
        <v>15</v>
      </c>
      <c r="E69" s="96">
        <f>+'POBLACION DE REFERENCIA'!D69</f>
        <v>15</v>
      </c>
      <c r="F69" s="118">
        <f>+'POBLACION DE REFERENCIA'!E69</f>
        <v>15</v>
      </c>
      <c r="G69" s="185">
        <f>+'POBLACION DE REFERENCIA'!F69</f>
        <v>15</v>
      </c>
      <c r="H69" s="122">
        <f>+'POBLACION DE REFERENCIA'!G69</f>
        <v>15</v>
      </c>
      <c r="I69" s="122">
        <f>+'POBLACION DE REFERENCIA'!H69</f>
        <v>15</v>
      </c>
      <c r="J69" s="122">
        <f>+'POBLACION DE REFERENCIA'!I69</f>
        <v>15</v>
      </c>
      <c r="K69" s="122">
        <f>+'POBLACION DE REFERENCIA'!J69</f>
        <v>15</v>
      </c>
      <c r="L69" s="122">
        <f>+'POBLACION DE REFERENCIA'!K69</f>
        <v>15</v>
      </c>
      <c r="M69" s="122">
        <f>+'POBLACION DE REFERENCIA'!L69</f>
        <v>15</v>
      </c>
      <c r="N69" s="122">
        <f>+'POBLACION DE REFERENCIA'!M69</f>
        <v>15</v>
      </c>
      <c r="O69" s="122">
        <f>+'POBLACION DE REFERENCIA'!N69</f>
        <v>15</v>
      </c>
      <c r="P69" s="122">
        <f>+'POBLACION DE REFERENCIA'!O69</f>
        <v>15</v>
      </c>
      <c r="Q69"/>
      <c r="R69"/>
    </row>
    <row r="70" spans="1:18" x14ac:dyDescent="0.25">
      <c r="C70" s="51" t="s">
        <v>202</v>
      </c>
      <c r="D70" s="96">
        <f>+'POBLACION DE REFERENCIA'!C70</f>
        <v>13</v>
      </c>
      <c r="E70" s="96">
        <f>+'POBLACION DE REFERENCIA'!D70</f>
        <v>13</v>
      </c>
      <c r="F70" s="118">
        <f>+'POBLACION DE REFERENCIA'!E70</f>
        <v>13</v>
      </c>
      <c r="G70" s="185">
        <f>+'POBLACION DE REFERENCIA'!F70</f>
        <v>13</v>
      </c>
      <c r="H70" s="122">
        <f>+'POBLACION DE REFERENCIA'!G70</f>
        <v>13</v>
      </c>
      <c r="I70" s="122">
        <f>+'POBLACION DE REFERENCIA'!H70</f>
        <v>13</v>
      </c>
      <c r="J70" s="122">
        <f>+'POBLACION DE REFERENCIA'!I70</f>
        <v>13</v>
      </c>
      <c r="K70" s="122">
        <f>+'POBLACION DE REFERENCIA'!J70</f>
        <v>13</v>
      </c>
      <c r="L70" s="122">
        <f>+'POBLACION DE REFERENCIA'!K70</f>
        <v>13</v>
      </c>
      <c r="M70" s="122">
        <f>+'POBLACION DE REFERENCIA'!L70</f>
        <v>13</v>
      </c>
      <c r="N70" s="122">
        <f>+'POBLACION DE REFERENCIA'!M70</f>
        <v>13</v>
      </c>
      <c r="O70" s="122">
        <f>+'POBLACION DE REFERENCIA'!N70</f>
        <v>13</v>
      </c>
      <c r="P70" s="122">
        <f>+'POBLACION DE REFERENCIA'!O70</f>
        <v>13</v>
      </c>
    </row>
    <row r="71" spans="1:18" x14ac:dyDescent="0.25">
      <c r="C71" s="51" t="s">
        <v>195</v>
      </c>
      <c r="D71" s="96">
        <f>+'POBLACION DE REFERENCIA'!C71</f>
        <v>18</v>
      </c>
      <c r="E71" s="96">
        <f>+'POBLACION DE REFERENCIA'!D71</f>
        <v>18</v>
      </c>
      <c r="F71" s="118">
        <f>+'POBLACION DE REFERENCIA'!E71</f>
        <v>18</v>
      </c>
      <c r="G71" s="179">
        <f>+'POBLACION DE REFERENCIA'!F71</f>
        <v>18</v>
      </c>
      <c r="H71" s="184">
        <f>+'POBLACION DE REFERENCIA'!G71</f>
        <v>18</v>
      </c>
      <c r="I71" s="184">
        <f>+'POBLACION DE REFERENCIA'!H71</f>
        <v>18</v>
      </c>
      <c r="J71" s="184">
        <f>+'POBLACION DE REFERENCIA'!I71</f>
        <v>18</v>
      </c>
      <c r="K71" s="184">
        <f>+'POBLACION DE REFERENCIA'!J71</f>
        <v>18</v>
      </c>
      <c r="L71" s="184">
        <f>+'POBLACION DE REFERENCIA'!K71</f>
        <v>18</v>
      </c>
      <c r="M71" s="184">
        <f>+'POBLACION DE REFERENCIA'!L71</f>
        <v>18</v>
      </c>
      <c r="N71" s="184">
        <f>+'POBLACION DE REFERENCIA'!M71</f>
        <v>18</v>
      </c>
      <c r="O71" s="184">
        <f>+'POBLACION DE REFERENCIA'!N71</f>
        <v>18</v>
      </c>
      <c r="P71" s="184">
        <f>+'POBLACION DE REFERENCIA'!O71</f>
        <v>18</v>
      </c>
    </row>
    <row r="73" spans="1:18" x14ac:dyDescent="0.25">
      <c r="A73">
        <f>+Hoja1!D17</f>
        <v>2.9999999999999997E-4</v>
      </c>
      <c r="B73" s="126">
        <f>+Hoja3!D8</f>
        <v>0</v>
      </c>
      <c r="C73" s="262" t="s">
        <v>37</v>
      </c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</row>
    <row r="74" spans="1:18" x14ac:dyDescent="0.25"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</row>
    <row r="75" spans="1:18" x14ac:dyDescent="0.25">
      <c r="C75" s="252" t="s">
        <v>38</v>
      </c>
      <c r="D75" s="249" t="s">
        <v>143</v>
      </c>
      <c r="E75" s="250"/>
      <c r="F75" s="251"/>
      <c r="G75" s="255" t="s">
        <v>39</v>
      </c>
      <c r="H75" s="255"/>
      <c r="I75" s="255"/>
      <c r="J75" s="255"/>
      <c r="K75" s="255"/>
      <c r="L75" s="255"/>
      <c r="M75" s="255"/>
      <c r="N75" s="255"/>
      <c r="O75" s="255"/>
      <c r="P75" s="255"/>
      <c r="Q75" s="17"/>
      <c r="R75" s="17"/>
    </row>
    <row r="76" spans="1:18" ht="25.5" customHeight="1" x14ac:dyDescent="0.25">
      <c r="C76" s="253"/>
      <c r="D76" s="239">
        <v>0</v>
      </c>
      <c r="E76" s="239"/>
      <c r="F76" s="239"/>
      <c r="G76" s="24">
        <v>1</v>
      </c>
      <c r="H76" s="25">
        <v>2</v>
      </c>
      <c r="I76" s="25">
        <v>3</v>
      </c>
      <c r="J76" s="25">
        <v>4</v>
      </c>
      <c r="K76" s="25">
        <v>5</v>
      </c>
      <c r="L76" s="25">
        <v>6</v>
      </c>
      <c r="M76" s="25">
        <v>7</v>
      </c>
      <c r="N76" s="25">
        <v>8</v>
      </c>
      <c r="O76" s="25">
        <v>9</v>
      </c>
      <c r="P76" s="24">
        <v>10</v>
      </c>
    </row>
    <row r="77" spans="1:18" ht="25.5" customHeight="1" x14ac:dyDescent="0.25">
      <c r="C77" s="254"/>
      <c r="D77" s="95">
        <v>2024</v>
      </c>
      <c r="E77" s="95">
        <v>2025</v>
      </c>
      <c r="F77" s="95">
        <v>2026</v>
      </c>
      <c r="G77" s="95">
        <v>2027</v>
      </c>
      <c r="H77" s="95">
        <v>2028</v>
      </c>
      <c r="I77" s="95">
        <v>2029</v>
      </c>
      <c r="J77" s="95">
        <v>2030</v>
      </c>
      <c r="K77" s="95">
        <v>2031</v>
      </c>
      <c r="L77" s="95">
        <v>2032</v>
      </c>
      <c r="M77" s="95">
        <v>2033</v>
      </c>
      <c r="N77" s="95">
        <v>2034</v>
      </c>
      <c r="O77" s="95">
        <v>2035</v>
      </c>
      <c r="P77" s="95">
        <v>2036</v>
      </c>
    </row>
    <row r="78" spans="1:18" ht="29.25" customHeight="1" x14ac:dyDescent="0.25">
      <c r="C78" s="28" t="s">
        <v>379</v>
      </c>
      <c r="D78" s="98">
        <f>+SUM(D79:D84)</f>
        <v>364</v>
      </c>
      <c r="E78" s="98">
        <f>+SUM(E79:E84)</f>
        <v>364</v>
      </c>
      <c r="F78" s="120">
        <f t="shared" ref="F78:P78" si="11">+SUM(F79:F84)</f>
        <v>364</v>
      </c>
      <c r="G78" s="98">
        <f t="shared" si="11"/>
        <v>364</v>
      </c>
      <c r="H78" s="98">
        <f t="shared" si="11"/>
        <v>364</v>
      </c>
      <c r="I78" s="98">
        <f t="shared" si="11"/>
        <v>364</v>
      </c>
      <c r="J78" s="98">
        <f t="shared" si="11"/>
        <v>364</v>
      </c>
      <c r="K78" s="98">
        <f t="shared" si="11"/>
        <v>364</v>
      </c>
      <c r="L78" s="98">
        <f t="shared" si="11"/>
        <v>364</v>
      </c>
      <c r="M78" s="98">
        <f t="shared" si="11"/>
        <v>364</v>
      </c>
      <c r="N78" s="98">
        <f t="shared" si="11"/>
        <v>364</v>
      </c>
      <c r="O78" s="98">
        <f t="shared" si="11"/>
        <v>364</v>
      </c>
      <c r="P78" s="98">
        <f t="shared" si="11"/>
        <v>364</v>
      </c>
    </row>
    <row r="79" spans="1:18" x14ac:dyDescent="0.25">
      <c r="C79" s="105" t="s">
        <v>181</v>
      </c>
      <c r="D79" s="94">
        <f>+'POBLACION DE REFERENCIA'!C79</f>
        <v>54</v>
      </c>
      <c r="E79" s="94">
        <f>+'POBLACION DE REFERENCIA'!D79</f>
        <v>54</v>
      </c>
      <c r="F79" s="128">
        <f>+'POBLACION DE REFERENCIA'!E79</f>
        <v>54</v>
      </c>
      <c r="G79" s="192">
        <f>+'POBLACION DE REFERENCIA'!F79</f>
        <v>54</v>
      </c>
      <c r="H79" s="193">
        <f>+'POBLACION DE REFERENCIA'!G79</f>
        <v>54</v>
      </c>
      <c r="I79" s="193">
        <f>+'POBLACION DE REFERENCIA'!H79</f>
        <v>54</v>
      </c>
      <c r="J79" s="193">
        <f>+'POBLACION DE REFERENCIA'!I79</f>
        <v>54</v>
      </c>
      <c r="K79" s="193">
        <f>+'POBLACION DE REFERENCIA'!J79</f>
        <v>54</v>
      </c>
      <c r="L79" s="193">
        <f>+'POBLACION DE REFERENCIA'!K79</f>
        <v>54</v>
      </c>
      <c r="M79" s="193">
        <f>+'POBLACION DE REFERENCIA'!L79</f>
        <v>54</v>
      </c>
      <c r="N79" s="193">
        <f>+'POBLACION DE REFERENCIA'!M79</f>
        <v>54</v>
      </c>
      <c r="O79" s="193">
        <f>+'POBLACION DE REFERENCIA'!N79</f>
        <v>54</v>
      </c>
      <c r="P79" s="193">
        <f>+'POBLACION DE REFERENCIA'!O79</f>
        <v>54</v>
      </c>
    </row>
    <row r="80" spans="1:18" x14ac:dyDescent="0.25">
      <c r="C80" s="51" t="s">
        <v>182</v>
      </c>
      <c r="D80" s="94">
        <f>+'POBLACION DE REFERENCIA'!C80</f>
        <v>87</v>
      </c>
      <c r="E80" s="94">
        <f>+'POBLACION DE REFERENCIA'!D80</f>
        <v>87</v>
      </c>
      <c r="F80" s="128">
        <f>+'POBLACION DE REFERENCIA'!E80</f>
        <v>87</v>
      </c>
      <c r="G80" s="189">
        <f>+'POBLACION DE REFERENCIA'!F80</f>
        <v>87</v>
      </c>
      <c r="H80" s="124">
        <f>+'POBLACION DE REFERENCIA'!G80</f>
        <v>87</v>
      </c>
      <c r="I80" s="124">
        <f>+'POBLACION DE REFERENCIA'!H80</f>
        <v>87</v>
      </c>
      <c r="J80" s="124">
        <f>+'POBLACION DE REFERENCIA'!I80</f>
        <v>87</v>
      </c>
      <c r="K80" s="124">
        <f>+'POBLACION DE REFERENCIA'!J80</f>
        <v>87</v>
      </c>
      <c r="L80" s="124">
        <f>+'POBLACION DE REFERENCIA'!K80</f>
        <v>87</v>
      </c>
      <c r="M80" s="124">
        <f>+'POBLACION DE REFERENCIA'!L80</f>
        <v>87</v>
      </c>
      <c r="N80" s="124">
        <f>+'POBLACION DE REFERENCIA'!M80</f>
        <v>87</v>
      </c>
      <c r="O80" s="124">
        <f>+'POBLACION DE REFERENCIA'!N80</f>
        <v>87</v>
      </c>
      <c r="P80" s="124">
        <f>+'POBLACION DE REFERENCIA'!O80</f>
        <v>87</v>
      </c>
    </row>
    <row r="81" spans="2:18" x14ac:dyDescent="0.25">
      <c r="C81" s="51" t="s">
        <v>183</v>
      </c>
      <c r="D81" s="94">
        <f>+'POBLACION DE REFERENCIA'!C81</f>
        <v>66</v>
      </c>
      <c r="E81" s="94">
        <f>+'POBLACION DE REFERENCIA'!D81</f>
        <v>66</v>
      </c>
      <c r="F81" s="128">
        <f>+'POBLACION DE REFERENCIA'!E81</f>
        <v>66</v>
      </c>
      <c r="G81" s="189">
        <f>+'POBLACION DE REFERENCIA'!F81</f>
        <v>66</v>
      </c>
      <c r="H81" s="124">
        <f>+'POBLACION DE REFERENCIA'!G81</f>
        <v>66</v>
      </c>
      <c r="I81" s="124">
        <f>+'POBLACION DE REFERENCIA'!H81</f>
        <v>66</v>
      </c>
      <c r="J81" s="124">
        <f>+'POBLACION DE REFERENCIA'!I81</f>
        <v>66</v>
      </c>
      <c r="K81" s="124">
        <f>+'POBLACION DE REFERENCIA'!J81</f>
        <v>66</v>
      </c>
      <c r="L81" s="124">
        <f>+'POBLACION DE REFERENCIA'!K81</f>
        <v>66</v>
      </c>
      <c r="M81" s="124">
        <f>+'POBLACION DE REFERENCIA'!L81</f>
        <v>66</v>
      </c>
      <c r="N81" s="124">
        <f>+'POBLACION DE REFERENCIA'!M81</f>
        <v>66</v>
      </c>
      <c r="O81" s="124">
        <f>+'POBLACION DE REFERENCIA'!N81</f>
        <v>66</v>
      </c>
      <c r="P81" s="124">
        <f>+'POBLACION DE REFERENCIA'!O81</f>
        <v>66</v>
      </c>
    </row>
    <row r="82" spans="2:18" x14ac:dyDescent="0.25">
      <c r="C82" s="51" t="s">
        <v>184</v>
      </c>
      <c r="D82" s="94">
        <f>+'POBLACION DE REFERENCIA'!C82</f>
        <v>54</v>
      </c>
      <c r="E82" s="94">
        <f>+'POBLACION DE REFERENCIA'!D82</f>
        <v>54</v>
      </c>
      <c r="F82" s="128">
        <f>+'POBLACION DE REFERENCIA'!E82</f>
        <v>54</v>
      </c>
      <c r="G82" s="189">
        <f>+'POBLACION DE REFERENCIA'!F82</f>
        <v>54</v>
      </c>
      <c r="H82" s="124">
        <f>+'POBLACION DE REFERENCIA'!G82</f>
        <v>54</v>
      </c>
      <c r="I82" s="124">
        <f>+'POBLACION DE REFERENCIA'!H82</f>
        <v>54</v>
      </c>
      <c r="J82" s="124">
        <f>+'POBLACION DE REFERENCIA'!I82</f>
        <v>54</v>
      </c>
      <c r="K82" s="124">
        <f>+'POBLACION DE REFERENCIA'!J82</f>
        <v>54</v>
      </c>
      <c r="L82" s="124">
        <f>+'POBLACION DE REFERENCIA'!K82</f>
        <v>54</v>
      </c>
      <c r="M82" s="124">
        <f>+'POBLACION DE REFERENCIA'!L82</f>
        <v>54</v>
      </c>
      <c r="N82" s="124">
        <f>+'POBLACION DE REFERENCIA'!M82</f>
        <v>54</v>
      </c>
      <c r="O82" s="124">
        <f>+'POBLACION DE REFERENCIA'!N82</f>
        <v>54</v>
      </c>
      <c r="P82" s="124">
        <f>+'POBLACION DE REFERENCIA'!O82</f>
        <v>54</v>
      </c>
    </row>
    <row r="83" spans="2:18" x14ac:dyDescent="0.25">
      <c r="C83" s="51" t="s">
        <v>185</v>
      </c>
      <c r="D83" s="94">
        <f>+'POBLACION DE REFERENCIA'!C83</f>
        <v>46</v>
      </c>
      <c r="E83" s="94">
        <f>+'POBLACION DE REFERENCIA'!D83</f>
        <v>46</v>
      </c>
      <c r="F83" s="128">
        <f>+'POBLACION DE REFERENCIA'!E83</f>
        <v>46</v>
      </c>
      <c r="G83" s="189">
        <f>+'POBLACION DE REFERENCIA'!F83</f>
        <v>46</v>
      </c>
      <c r="H83" s="124">
        <f>+'POBLACION DE REFERENCIA'!G83</f>
        <v>46</v>
      </c>
      <c r="I83" s="124">
        <f>+'POBLACION DE REFERENCIA'!H83</f>
        <v>46</v>
      </c>
      <c r="J83" s="124">
        <f>+'POBLACION DE REFERENCIA'!I83</f>
        <v>46</v>
      </c>
      <c r="K83" s="124">
        <f>+'POBLACION DE REFERENCIA'!J83</f>
        <v>46</v>
      </c>
      <c r="L83" s="124">
        <f>+'POBLACION DE REFERENCIA'!K83</f>
        <v>46</v>
      </c>
      <c r="M83" s="124">
        <f>+'POBLACION DE REFERENCIA'!L83</f>
        <v>46</v>
      </c>
      <c r="N83" s="124">
        <f>+'POBLACION DE REFERENCIA'!M83</f>
        <v>46</v>
      </c>
      <c r="O83" s="124">
        <f>+'POBLACION DE REFERENCIA'!N83</f>
        <v>46</v>
      </c>
      <c r="P83" s="124">
        <f>+'POBLACION DE REFERENCIA'!O83</f>
        <v>46</v>
      </c>
    </row>
    <row r="84" spans="2:18" x14ac:dyDescent="0.25">
      <c r="C84" s="109" t="s">
        <v>186</v>
      </c>
      <c r="D84" s="94">
        <f>+'POBLACION DE REFERENCIA'!C84</f>
        <v>57</v>
      </c>
      <c r="E84" s="94">
        <f>+'POBLACION DE REFERENCIA'!D84</f>
        <v>57</v>
      </c>
      <c r="F84" s="128">
        <f>+'POBLACION DE REFERENCIA'!E84</f>
        <v>57</v>
      </c>
      <c r="G84" s="190">
        <f>+'POBLACION DE REFERENCIA'!F84</f>
        <v>57</v>
      </c>
      <c r="H84" s="191">
        <f>+'POBLACION DE REFERENCIA'!G84</f>
        <v>57</v>
      </c>
      <c r="I84" s="191">
        <f>+'POBLACION DE REFERENCIA'!H84</f>
        <v>57</v>
      </c>
      <c r="J84" s="191">
        <f>+'POBLACION DE REFERENCIA'!I84</f>
        <v>57</v>
      </c>
      <c r="K84" s="191">
        <f>+'POBLACION DE REFERENCIA'!J84</f>
        <v>57</v>
      </c>
      <c r="L84" s="191">
        <f>+'POBLACION DE REFERENCIA'!K84</f>
        <v>57</v>
      </c>
      <c r="M84" s="191">
        <f>+'POBLACION DE REFERENCIA'!L84</f>
        <v>57</v>
      </c>
      <c r="N84" s="191">
        <f>+'POBLACION DE REFERENCIA'!M84</f>
        <v>57</v>
      </c>
      <c r="O84" s="191">
        <f>+'POBLACION DE REFERENCIA'!N84</f>
        <v>57</v>
      </c>
      <c r="P84" s="191">
        <f>+'POBLACION DE REFERENCIA'!O84</f>
        <v>57</v>
      </c>
    </row>
    <row r="85" spans="2:18" x14ac:dyDescent="0.25"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112"/>
      <c r="R85" s="112"/>
    </row>
    <row r="86" spans="2:18" x14ac:dyDescent="0.25"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12"/>
      <c r="R86" s="112"/>
    </row>
    <row r="87" spans="2:18" x14ac:dyDescent="0.25">
      <c r="C87" s="252" t="s">
        <v>38</v>
      </c>
      <c r="D87" s="249" t="s">
        <v>143</v>
      </c>
      <c r="E87" s="250"/>
      <c r="F87" s="251"/>
      <c r="G87" s="255" t="s">
        <v>39</v>
      </c>
      <c r="H87" s="255"/>
      <c r="I87" s="255"/>
      <c r="J87" s="255"/>
      <c r="K87" s="255"/>
      <c r="L87" s="255"/>
      <c r="M87" s="255"/>
      <c r="N87" s="255"/>
      <c r="O87" s="255"/>
      <c r="P87" s="255"/>
    </row>
    <row r="88" spans="2:18" x14ac:dyDescent="0.25">
      <c r="C88" s="253"/>
      <c r="D88" s="239">
        <v>0</v>
      </c>
      <c r="E88" s="239"/>
      <c r="F88" s="239"/>
      <c r="G88" s="24">
        <v>1</v>
      </c>
      <c r="H88" s="25">
        <v>2</v>
      </c>
      <c r="I88" s="25">
        <v>3</v>
      </c>
      <c r="J88" s="25">
        <v>4</v>
      </c>
      <c r="K88" s="25">
        <v>5</v>
      </c>
      <c r="L88" s="25">
        <v>6</v>
      </c>
      <c r="M88" s="25">
        <v>7</v>
      </c>
      <c r="N88" s="25">
        <v>8</v>
      </c>
      <c r="O88" s="25">
        <v>9</v>
      </c>
      <c r="P88" s="24">
        <v>10</v>
      </c>
    </row>
    <row r="89" spans="2:18" x14ac:dyDescent="0.25">
      <c r="C89" s="254"/>
      <c r="D89" s="95">
        <f>+D77</f>
        <v>2024</v>
      </c>
      <c r="E89" s="95">
        <f t="shared" ref="E89:P89" si="12">+E77</f>
        <v>2025</v>
      </c>
      <c r="F89" s="95">
        <f t="shared" si="12"/>
        <v>2026</v>
      </c>
      <c r="G89" s="95">
        <f t="shared" si="12"/>
        <v>2027</v>
      </c>
      <c r="H89" s="95">
        <f t="shared" si="12"/>
        <v>2028</v>
      </c>
      <c r="I89" s="95">
        <f t="shared" si="12"/>
        <v>2029</v>
      </c>
      <c r="J89" s="95">
        <f t="shared" si="12"/>
        <v>2030</v>
      </c>
      <c r="K89" s="95">
        <f t="shared" si="12"/>
        <v>2031</v>
      </c>
      <c r="L89" s="95">
        <f t="shared" si="12"/>
        <v>2032</v>
      </c>
      <c r="M89" s="95">
        <f t="shared" si="12"/>
        <v>2033</v>
      </c>
      <c r="N89" s="95">
        <f t="shared" si="12"/>
        <v>2034</v>
      </c>
      <c r="O89" s="95">
        <f t="shared" si="12"/>
        <v>2035</v>
      </c>
      <c r="P89" s="95">
        <f t="shared" si="12"/>
        <v>2036</v>
      </c>
    </row>
    <row r="90" spans="2:18" x14ac:dyDescent="0.25">
      <c r="C90" s="28" t="s">
        <v>383</v>
      </c>
      <c r="D90" s="98">
        <f>+SUM(D91:D96)</f>
        <v>364</v>
      </c>
      <c r="E90" s="98">
        <f t="shared" ref="E90:P90" si="13">+SUM(E91:E96)</f>
        <v>364</v>
      </c>
      <c r="F90" s="98">
        <f t="shared" si="13"/>
        <v>364</v>
      </c>
      <c r="G90" s="106">
        <f t="shared" si="13"/>
        <v>364</v>
      </c>
      <c r="H90" s="106">
        <f t="shared" si="13"/>
        <v>364</v>
      </c>
      <c r="I90" s="106">
        <f t="shared" si="13"/>
        <v>364</v>
      </c>
      <c r="J90" s="106">
        <f t="shared" si="13"/>
        <v>364</v>
      </c>
      <c r="K90" s="106">
        <f t="shared" si="13"/>
        <v>364</v>
      </c>
      <c r="L90" s="106">
        <f t="shared" si="13"/>
        <v>364</v>
      </c>
      <c r="M90" s="106">
        <f t="shared" si="13"/>
        <v>364</v>
      </c>
      <c r="N90" s="106">
        <f t="shared" si="13"/>
        <v>364</v>
      </c>
      <c r="O90" s="106">
        <f t="shared" si="13"/>
        <v>364</v>
      </c>
      <c r="P90" s="106">
        <f t="shared" si="13"/>
        <v>364</v>
      </c>
    </row>
    <row r="91" spans="2:18" x14ac:dyDescent="0.25">
      <c r="C91" s="105" t="s">
        <v>181</v>
      </c>
      <c r="D91" s="94">
        <f>+'POBLACION DE REFERENCIA'!C91</f>
        <v>54</v>
      </c>
      <c r="E91" s="94">
        <f>+'POBLACION DE REFERENCIA'!D91</f>
        <v>54</v>
      </c>
      <c r="F91" s="128">
        <f>+'POBLACION DE REFERENCIA'!E91</f>
        <v>54</v>
      </c>
      <c r="G91" s="192">
        <f>+'POBLACION DE REFERENCIA'!F91</f>
        <v>54</v>
      </c>
      <c r="H91" s="193">
        <f>+'POBLACION DE REFERENCIA'!G91</f>
        <v>54</v>
      </c>
      <c r="I91" s="193">
        <f>+'POBLACION DE REFERENCIA'!H91</f>
        <v>54</v>
      </c>
      <c r="J91" s="193">
        <f>+'POBLACION DE REFERENCIA'!I91</f>
        <v>54</v>
      </c>
      <c r="K91" s="193">
        <f>+'POBLACION DE REFERENCIA'!J91</f>
        <v>54</v>
      </c>
      <c r="L91" s="193">
        <f>+'POBLACION DE REFERENCIA'!K91</f>
        <v>54</v>
      </c>
      <c r="M91" s="193">
        <f>+'POBLACION DE REFERENCIA'!L91</f>
        <v>54</v>
      </c>
      <c r="N91" s="193">
        <f>+'POBLACION DE REFERENCIA'!M91</f>
        <v>54</v>
      </c>
      <c r="O91" s="193">
        <f>+'POBLACION DE REFERENCIA'!N91</f>
        <v>54</v>
      </c>
      <c r="P91" s="193">
        <f>+'POBLACION DE REFERENCIA'!O91</f>
        <v>54</v>
      </c>
    </row>
    <row r="92" spans="2:18" x14ac:dyDescent="0.25">
      <c r="C92" s="51" t="s">
        <v>182</v>
      </c>
      <c r="D92" s="94">
        <f>+'POBLACION DE REFERENCIA'!C92</f>
        <v>87</v>
      </c>
      <c r="E92" s="94">
        <f>+'POBLACION DE REFERENCIA'!D92</f>
        <v>87</v>
      </c>
      <c r="F92" s="128">
        <f>+'POBLACION DE REFERENCIA'!E92</f>
        <v>87</v>
      </c>
      <c r="G92" s="189">
        <f>+'POBLACION DE REFERENCIA'!F92</f>
        <v>87</v>
      </c>
      <c r="H92" s="124">
        <f>+'POBLACION DE REFERENCIA'!G92</f>
        <v>87</v>
      </c>
      <c r="I92" s="124">
        <f>+'POBLACION DE REFERENCIA'!H92</f>
        <v>87</v>
      </c>
      <c r="J92" s="124">
        <f>+'POBLACION DE REFERENCIA'!I92</f>
        <v>87</v>
      </c>
      <c r="K92" s="124">
        <f>+'POBLACION DE REFERENCIA'!J92</f>
        <v>87</v>
      </c>
      <c r="L92" s="124">
        <f>+'POBLACION DE REFERENCIA'!K92</f>
        <v>87</v>
      </c>
      <c r="M92" s="124">
        <f>+'POBLACION DE REFERENCIA'!L92</f>
        <v>87</v>
      </c>
      <c r="N92" s="124">
        <f>+'POBLACION DE REFERENCIA'!M92</f>
        <v>87</v>
      </c>
      <c r="O92" s="124">
        <f>+'POBLACION DE REFERENCIA'!N92</f>
        <v>87</v>
      </c>
      <c r="P92" s="124">
        <f>+'POBLACION DE REFERENCIA'!O92</f>
        <v>87</v>
      </c>
    </row>
    <row r="93" spans="2:18" x14ac:dyDescent="0.25">
      <c r="C93" s="51" t="s">
        <v>183</v>
      </c>
      <c r="D93" s="94">
        <f>+'POBLACION DE REFERENCIA'!C93</f>
        <v>66</v>
      </c>
      <c r="E93" s="94">
        <f>+'POBLACION DE REFERENCIA'!D93</f>
        <v>66</v>
      </c>
      <c r="F93" s="128">
        <f>+'POBLACION DE REFERENCIA'!E93</f>
        <v>66</v>
      </c>
      <c r="G93" s="189">
        <f>+'POBLACION DE REFERENCIA'!F93</f>
        <v>66</v>
      </c>
      <c r="H93" s="124">
        <f>+'POBLACION DE REFERENCIA'!G93</f>
        <v>66</v>
      </c>
      <c r="I93" s="124">
        <f>+'POBLACION DE REFERENCIA'!H93</f>
        <v>66</v>
      </c>
      <c r="J93" s="124">
        <f>+'POBLACION DE REFERENCIA'!I93</f>
        <v>66</v>
      </c>
      <c r="K93" s="124">
        <f>+'POBLACION DE REFERENCIA'!J93</f>
        <v>66</v>
      </c>
      <c r="L93" s="124">
        <f>+'POBLACION DE REFERENCIA'!K93</f>
        <v>66</v>
      </c>
      <c r="M93" s="124">
        <f>+'POBLACION DE REFERENCIA'!L93</f>
        <v>66</v>
      </c>
      <c r="N93" s="124">
        <f>+'POBLACION DE REFERENCIA'!M93</f>
        <v>66</v>
      </c>
      <c r="O93" s="124">
        <f>+'POBLACION DE REFERENCIA'!N93</f>
        <v>66</v>
      </c>
      <c r="P93" s="124">
        <f>+'POBLACION DE REFERENCIA'!O93</f>
        <v>66</v>
      </c>
    </row>
    <row r="94" spans="2:18" x14ac:dyDescent="0.25">
      <c r="C94" s="51" t="s">
        <v>184</v>
      </c>
      <c r="D94" s="94">
        <f>+'POBLACION DE REFERENCIA'!C94</f>
        <v>54</v>
      </c>
      <c r="E94" s="94">
        <f>+'POBLACION DE REFERENCIA'!D94</f>
        <v>54</v>
      </c>
      <c r="F94" s="128">
        <f>+'POBLACION DE REFERENCIA'!E94</f>
        <v>54</v>
      </c>
      <c r="G94" s="189">
        <f>+'POBLACION DE REFERENCIA'!F94</f>
        <v>54</v>
      </c>
      <c r="H94" s="124">
        <f>+'POBLACION DE REFERENCIA'!G94</f>
        <v>54</v>
      </c>
      <c r="I94" s="124">
        <f>+'POBLACION DE REFERENCIA'!H94</f>
        <v>54</v>
      </c>
      <c r="J94" s="124">
        <f>+'POBLACION DE REFERENCIA'!I94</f>
        <v>54</v>
      </c>
      <c r="K94" s="124">
        <f>+'POBLACION DE REFERENCIA'!J94</f>
        <v>54</v>
      </c>
      <c r="L94" s="124">
        <f>+'POBLACION DE REFERENCIA'!K94</f>
        <v>54</v>
      </c>
      <c r="M94" s="124">
        <f>+'POBLACION DE REFERENCIA'!L94</f>
        <v>54</v>
      </c>
      <c r="N94" s="124">
        <f>+'POBLACION DE REFERENCIA'!M94</f>
        <v>54</v>
      </c>
      <c r="O94" s="124">
        <f>+'POBLACION DE REFERENCIA'!N94</f>
        <v>54</v>
      </c>
      <c r="P94" s="124">
        <f>+'POBLACION DE REFERENCIA'!O94</f>
        <v>54</v>
      </c>
    </row>
    <row r="95" spans="2:18" x14ac:dyDescent="0.25">
      <c r="C95" s="51" t="s">
        <v>185</v>
      </c>
      <c r="D95" s="94">
        <f>+'POBLACION DE REFERENCIA'!C95</f>
        <v>46</v>
      </c>
      <c r="E95" s="94">
        <f>+'POBLACION DE REFERENCIA'!D95</f>
        <v>46</v>
      </c>
      <c r="F95" s="128">
        <f>+'POBLACION DE REFERENCIA'!E95</f>
        <v>46</v>
      </c>
      <c r="G95" s="189">
        <f>+'POBLACION DE REFERENCIA'!F95</f>
        <v>46</v>
      </c>
      <c r="H95" s="124">
        <f>+'POBLACION DE REFERENCIA'!G95</f>
        <v>46</v>
      </c>
      <c r="I95" s="124">
        <f>+'POBLACION DE REFERENCIA'!H95</f>
        <v>46</v>
      </c>
      <c r="J95" s="124">
        <f>+'POBLACION DE REFERENCIA'!I95</f>
        <v>46</v>
      </c>
      <c r="K95" s="124">
        <f>+'POBLACION DE REFERENCIA'!J95</f>
        <v>46</v>
      </c>
      <c r="L95" s="124">
        <f>+'POBLACION DE REFERENCIA'!K95</f>
        <v>46</v>
      </c>
      <c r="M95" s="124">
        <f>+'POBLACION DE REFERENCIA'!L95</f>
        <v>46</v>
      </c>
      <c r="N95" s="124">
        <f>+'POBLACION DE REFERENCIA'!M95</f>
        <v>46</v>
      </c>
      <c r="O95" s="124">
        <f>+'POBLACION DE REFERENCIA'!N95</f>
        <v>46</v>
      </c>
      <c r="P95" s="124">
        <f>+'POBLACION DE REFERENCIA'!O95</f>
        <v>46</v>
      </c>
    </row>
    <row r="96" spans="2:18" x14ac:dyDescent="0.25">
      <c r="C96" s="109" t="s">
        <v>186</v>
      </c>
      <c r="D96" s="94">
        <f>+'POBLACION DE REFERENCIA'!C96</f>
        <v>57</v>
      </c>
      <c r="E96" s="94">
        <f>+'POBLACION DE REFERENCIA'!D96</f>
        <v>57</v>
      </c>
      <c r="F96" s="128">
        <f>+'POBLACION DE REFERENCIA'!E96</f>
        <v>57</v>
      </c>
      <c r="G96" s="190">
        <f>+'POBLACION DE REFERENCIA'!F96</f>
        <v>57</v>
      </c>
      <c r="H96" s="191">
        <f>+'POBLACION DE REFERENCIA'!G96</f>
        <v>57</v>
      </c>
      <c r="I96" s="191">
        <f>+'POBLACION DE REFERENCIA'!H96</f>
        <v>57</v>
      </c>
      <c r="J96" s="191">
        <f>+'POBLACION DE REFERENCIA'!I96</f>
        <v>57</v>
      </c>
      <c r="K96" s="191">
        <f>+'POBLACION DE REFERENCIA'!J96</f>
        <v>57</v>
      </c>
      <c r="L96" s="191">
        <f>+'POBLACION DE REFERENCIA'!K96</f>
        <v>57</v>
      </c>
      <c r="M96" s="191">
        <f>+'POBLACION DE REFERENCIA'!L96</f>
        <v>57</v>
      </c>
      <c r="N96" s="191">
        <f>+'POBLACION DE REFERENCIA'!M96</f>
        <v>57</v>
      </c>
      <c r="O96" s="191">
        <f>+'POBLACION DE REFERENCIA'!N96</f>
        <v>57</v>
      </c>
      <c r="P96" s="191">
        <f>+'POBLACION DE REFERENCIA'!O96</f>
        <v>57</v>
      </c>
    </row>
    <row r="97" spans="2:18" x14ac:dyDescent="0.25"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</row>
    <row r="98" spans="2:18" x14ac:dyDescent="0.25">
      <c r="C98" s="252" t="s">
        <v>38</v>
      </c>
      <c r="D98" s="249" t="s">
        <v>143</v>
      </c>
      <c r="E98" s="250"/>
      <c r="F98" s="251"/>
      <c r="G98" s="255" t="s">
        <v>39</v>
      </c>
      <c r="H98" s="255"/>
      <c r="I98" s="255"/>
      <c r="J98" s="255"/>
      <c r="K98" s="255"/>
      <c r="L98" s="255"/>
      <c r="M98" s="255"/>
      <c r="N98" s="255"/>
      <c r="O98" s="255"/>
      <c r="P98" s="255"/>
    </row>
    <row r="99" spans="2:18" x14ac:dyDescent="0.25">
      <c r="C99" s="253"/>
      <c r="D99" s="239">
        <v>0</v>
      </c>
      <c r="E99" s="239"/>
      <c r="F99" s="239"/>
      <c r="G99" s="24">
        <v>1</v>
      </c>
      <c r="H99" s="25">
        <v>2</v>
      </c>
      <c r="I99" s="25">
        <v>3</v>
      </c>
      <c r="J99" s="25">
        <v>4</v>
      </c>
      <c r="K99" s="25">
        <v>5</v>
      </c>
      <c r="L99" s="25">
        <v>6</v>
      </c>
      <c r="M99" s="25">
        <v>7</v>
      </c>
      <c r="N99" s="25">
        <v>8</v>
      </c>
      <c r="O99" s="25">
        <v>9</v>
      </c>
      <c r="P99" s="24">
        <v>10</v>
      </c>
    </row>
    <row r="100" spans="2:18" x14ac:dyDescent="0.25">
      <c r="C100" s="254"/>
      <c r="D100" s="95">
        <f>+D89</f>
        <v>2024</v>
      </c>
      <c r="E100" s="95">
        <f t="shared" ref="E100:P100" si="14">+E89</f>
        <v>2025</v>
      </c>
      <c r="F100" s="95">
        <f t="shared" si="14"/>
        <v>2026</v>
      </c>
      <c r="G100" s="95">
        <f t="shared" si="14"/>
        <v>2027</v>
      </c>
      <c r="H100" s="95">
        <f t="shared" si="14"/>
        <v>2028</v>
      </c>
      <c r="I100" s="95">
        <f t="shared" si="14"/>
        <v>2029</v>
      </c>
      <c r="J100" s="95">
        <f t="shared" si="14"/>
        <v>2030</v>
      </c>
      <c r="K100" s="95">
        <f t="shared" si="14"/>
        <v>2031</v>
      </c>
      <c r="L100" s="95">
        <f t="shared" si="14"/>
        <v>2032</v>
      </c>
      <c r="M100" s="95">
        <f t="shared" si="14"/>
        <v>2033</v>
      </c>
      <c r="N100" s="95">
        <f t="shared" si="14"/>
        <v>2034</v>
      </c>
      <c r="O100" s="95">
        <f t="shared" si="14"/>
        <v>2035</v>
      </c>
      <c r="P100" s="95">
        <f t="shared" si="14"/>
        <v>2036</v>
      </c>
    </row>
    <row r="101" spans="2:18" ht="27.75" customHeight="1" x14ac:dyDescent="0.25">
      <c r="C101" s="28" t="s">
        <v>243</v>
      </c>
      <c r="D101" s="98">
        <f>+SUM(D102:D107)</f>
        <v>39</v>
      </c>
      <c r="E101" s="98">
        <f>+SUM(E102:E107)</f>
        <v>39</v>
      </c>
      <c r="F101" s="98">
        <f t="shared" ref="F101:P101" si="15">+SUM(F102:F107)</f>
        <v>39</v>
      </c>
      <c r="G101" s="106">
        <f t="shared" si="15"/>
        <v>39</v>
      </c>
      <c r="H101" s="106">
        <f t="shared" si="15"/>
        <v>39</v>
      </c>
      <c r="I101" s="106">
        <f t="shared" si="15"/>
        <v>39</v>
      </c>
      <c r="J101" s="106">
        <f t="shared" si="15"/>
        <v>39</v>
      </c>
      <c r="K101" s="106">
        <f t="shared" si="15"/>
        <v>39</v>
      </c>
      <c r="L101" s="106">
        <f t="shared" si="15"/>
        <v>39</v>
      </c>
      <c r="M101" s="106">
        <f t="shared" si="15"/>
        <v>39</v>
      </c>
      <c r="N101" s="106">
        <f t="shared" si="15"/>
        <v>39</v>
      </c>
      <c r="O101" s="106">
        <f t="shared" si="15"/>
        <v>39</v>
      </c>
      <c r="P101" s="106">
        <f t="shared" si="15"/>
        <v>39</v>
      </c>
    </row>
    <row r="102" spans="2:18" x14ac:dyDescent="0.25">
      <c r="C102" s="105" t="s">
        <v>187</v>
      </c>
      <c r="D102" s="94">
        <f>+'POBLACION DE REFERENCIA'!C102</f>
        <v>7</v>
      </c>
      <c r="E102" s="94">
        <f>+'POBLACION DE REFERENCIA'!D102</f>
        <v>7</v>
      </c>
      <c r="F102" s="128">
        <f>+'POBLACION DE REFERENCIA'!E102</f>
        <v>7</v>
      </c>
      <c r="G102" s="192">
        <f>+'POBLACION DE REFERENCIA'!F102</f>
        <v>7</v>
      </c>
      <c r="H102" s="193">
        <f>+'POBLACION DE REFERENCIA'!G102</f>
        <v>7</v>
      </c>
      <c r="I102" s="193">
        <f>+'POBLACION DE REFERENCIA'!H102</f>
        <v>7</v>
      </c>
      <c r="J102" s="193">
        <f>+'POBLACION DE REFERENCIA'!I102</f>
        <v>7</v>
      </c>
      <c r="K102" s="193">
        <f>+'POBLACION DE REFERENCIA'!J102</f>
        <v>7</v>
      </c>
      <c r="L102" s="193">
        <f>+'POBLACION DE REFERENCIA'!K102</f>
        <v>7</v>
      </c>
      <c r="M102" s="193">
        <f>+'POBLACION DE REFERENCIA'!L102</f>
        <v>7</v>
      </c>
      <c r="N102" s="193">
        <f>+'POBLACION DE REFERENCIA'!M102</f>
        <v>7</v>
      </c>
      <c r="O102" s="193">
        <f>+'POBLACION DE REFERENCIA'!N102</f>
        <v>7</v>
      </c>
      <c r="P102" s="193">
        <f>+'POBLACION DE REFERENCIA'!O102</f>
        <v>7</v>
      </c>
    </row>
    <row r="103" spans="2:18" x14ac:dyDescent="0.25">
      <c r="C103" s="51" t="s">
        <v>150</v>
      </c>
      <c r="D103" s="94">
        <f>+'POBLACION DE REFERENCIA'!C103</f>
        <v>9</v>
      </c>
      <c r="E103" s="94">
        <f>+'POBLACION DE REFERENCIA'!D103</f>
        <v>9</v>
      </c>
      <c r="F103" s="128">
        <f>+'POBLACION DE REFERENCIA'!E103</f>
        <v>9</v>
      </c>
      <c r="G103" s="189">
        <f>+'POBLACION DE REFERENCIA'!F103</f>
        <v>9</v>
      </c>
      <c r="H103" s="124">
        <f>+'POBLACION DE REFERENCIA'!G103</f>
        <v>9</v>
      </c>
      <c r="I103" s="124">
        <f>+'POBLACION DE REFERENCIA'!H103</f>
        <v>9</v>
      </c>
      <c r="J103" s="124">
        <f>+'POBLACION DE REFERENCIA'!I103</f>
        <v>9</v>
      </c>
      <c r="K103" s="124">
        <f>+'POBLACION DE REFERENCIA'!J103</f>
        <v>9</v>
      </c>
      <c r="L103" s="124">
        <f>+'POBLACION DE REFERENCIA'!K103</f>
        <v>9</v>
      </c>
      <c r="M103" s="124">
        <f>+'POBLACION DE REFERENCIA'!L103</f>
        <v>9</v>
      </c>
      <c r="N103" s="124">
        <f>+'POBLACION DE REFERENCIA'!M103</f>
        <v>9</v>
      </c>
      <c r="O103" s="124">
        <f>+'POBLACION DE REFERENCIA'!N103</f>
        <v>9</v>
      </c>
      <c r="P103" s="124">
        <f>+'POBLACION DE REFERENCIA'!O103</f>
        <v>9</v>
      </c>
    </row>
    <row r="104" spans="2:18" x14ac:dyDescent="0.25">
      <c r="C104" s="51" t="s">
        <v>188</v>
      </c>
      <c r="D104" s="94">
        <f>+'POBLACION DE REFERENCIA'!C104</f>
        <v>7</v>
      </c>
      <c r="E104" s="94">
        <f>+'POBLACION DE REFERENCIA'!D104</f>
        <v>7</v>
      </c>
      <c r="F104" s="128">
        <f>+'POBLACION DE REFERENCIA'!E104</f>
        <v>7</v>
      </c>
      <c r="G104" s="189">
        <f>+'POBLACION DE REFERENCIA'!F104</f>
        <v>7</v>
      </c>
      <c r="H104" s="124">
        <f>+'POBLACION DE REFERENCIA'!G104</f>
        <v>7</v>
      </c>
      <c r="I104" s="124">
        <f>+'POBLACION DE REFERENCIA'!H104</f>
        <v>7</v>
      </c>
      <c r="J104" s="124">
        <f>+'POBLACION DE REFERENCIA'!I104</f>
        <v>7</v>
      </c>
      <c r="K104" s="124">
        <f>+'POBLACION DE REFERENCIA'!J104</f>
        <v>7</v>
      </c>
      <c r="L104" s="124">
        <f>+'POBLACION DE REFERENCIA'!K104</f>
        <v>7</v>
      </c>
      <c r="M104" s="124">
        <f>+'POBLACION DE REFERENCIA'!L104</f>
        <v>7</v>
      </c>
      <c r="N104" s="124">
        <f>+'POBLACION DE REFERENCIA'!M104</f>
        <v>7</v>
      </c>
      <c r="O104" s="124">
        <f>+'POBLACION DE REFERENCIA'!N104</f>
        <v>7</v>
      </c>
      <c r="P104" s="124">
        <f>+'POBLACION DE REFERENCIA'!O104</f>
        <v>7</v>
      </c>
    </row>
    <row r="105" spans="2:18" x14ac:dyDescent="0.25">
      <c r="C105" s="51" t="s">
        <v>189</v>
      </c>
      <c r="D105" s="94">
        <f>+'POBLACION DE REFERENCIA'!C105</f>
        <v>5</v>
      </c>
      <c r="E105" s="94">
        <f>+'POBLACION DE REFERENCIA'!D105</f>
        <v>5</v>
      </c>
      <c r="F105" s="128">
        <f>+'POBLACION DE REFERENCIA'!E105</f>
        <v>5</v>
      </c>
      <c r="G105" s="189">
        <f>+'POBLACION DE REFERENCIA'!F105</f>
        <v>5</v>
      </c>
      <c r="H105" s="124">
        <f>+'POBLACION DE REFERENCIA'!G105</f>
        <v>5</v>
      </c>
      <c r="I105" s="124">
        <f>+'POBLACION DE REFERENCIA'!H105</f>
        <v>5</v>
      </c>
      <c r="J105" s="124">
        <f>+'POBLACION DE REFERENCIA'!I105</f>
        <v>5</v>
      </c>
      <c r="K105" s="124">
        <f>+'POBLACION DE REFERENCIA'!J105</f>
        <v>5</v>
      </c>
      <c r="L105" s="124">
        <f>+'POBLACION DE REFERENCIA'!K105</f>
        <v>5</v>
      </c>
      <c r="M105" s="124">
        <f>+'POBLACION DE REFERENCIA'!L105</f>
        <v>5</v>
      </c>
      <c r="N105" s="124">
        <f>+'POBLACION DE REFERENCIA'!M105</f>
        <v>5</v>
      </c>
      <c r="O105" s="124">
        <f>+'POBLACION DE REFERENCIA'!N105</f>
        <v>5</v>
      </c>
      <c r="P105" s="124">
        <f>+'POBLACION DE REFERENCIA'!O105</f>
        <v>5</v>
      </c>
    </row>
    <row r="106" spans="2:18" x14ac:dyDescent="0.25">
      <c r="C106" s="51" t="s">
        <v>220</v>
      </c>
      <c r="D106" s="94">
        <f>+'POBLACION DE REFERENCIA'!C106</f>
        <v>6</v>
      </c>
      <c r="E106" s="94">
        <f>+'POBLACION DE REFERENCIA'!D106</f>
        <v>6</v>
      </c>
      <c r="F106" s="128">
        <f>+'POBLACION DE REFERENCIA'!E106</f>
        <v>6</v>
      </c>
      <c r="G106" s="189">
        <f>+'POBLACION DE REFERENCIA'!F106</f>
        <v>6</v>
      </c>
      <c r="H106" s="124">
        <f>+'POBLACION DE REFERENCIA'!G106</f>
        <v>6</v>
      </c>
      <c r="I106" s="124">
        <f>+'POBLACION DE REFERENCIA'!H106</f>
        <v>6</v>
      </c>
      <c r="J106" s="124">
        <f>+'POBLACION DE REFERENCIA'!I106</f>
        <v>6</v>
      </c>
      <c r="K106" s="124">
        <f>+'POBLACION DE REFERENCIA'!J106</f>
        <v>6</v>
      </c>
      <c r="L106" s="124">
        <f>+'POBLACION DE REFERENCIA'!K106</f>
        <v>6</v>
      </c>
      <c r="M106" s="124">
        <f>+'POBLACION DE REFERENCIA'!L106</f>
        <v>6</v>
      </c>
      <c r="N106" s="124">
        <f>+'POBLACION DE REFERENCIA'!M106</f>
        <v>6</v>
      </c>
      <c r="O106" s="124">
        <f>+'POBLACION DE REFERENCIA'!N106</f>
        <v>6</v>
      </c>
      <c r="P106" s="124">
        <f>+'POBLACION DE REFERENCIA'!O106</f>
        <v>6</v>
      </c>
    </row>
    <row r="107" spans="2:18" x14ac:dyDescent="0.25">
      <c r="C107" s="109" t="s">
        <v>221</v>
      </c>
      <c r="D107" s="94">
        <f>+'POBLACION DE REFERENCIA'!C107</f>
        <v>5</v>
      </c>
      <c r="E107" s="94">
        <f>+'POBLACION DE REFERENCIA'!D107</f>
        <v>5</v>
      </c>
      <c r="F107" s="128">
        <f>+'POBLACION DE REFERENCIA'!E107</f>
        <v>5</v>
      </c>
      <c r="G107" s="190">
        <f>+'POBLACION DE REFERENCIA'!F107</f>
        <v>5</v>
      </c>
      <c r="H107" s="191">
        <f>+'POBLACION DE REFERENCIA'!G107</f>
        <v>5</v>
      </c>
      <c r="I107" s="191">
        <f>+'POBLACION DE REFERENCIA'!H107</f>
        <v>5</v>
      </c>
      <c r="J107" s="191">
        <f>+'POBLACION DE REFERENCIA'!I107</f>
        <v>5</v>
      </c>
      <c r="K107" s="191">
        <f>+'POBLACION DE REFERENCIA'!J107</f>
        <v>5</v>
      </c>
      <c r="L107" s="191">
        <f>+'POBLACION DE REFERENCIA'!K107</f>
        <v>5</v>
      </c>
      <c r="M107" s="191">
        <f>+'POBLACION DE REFERENCIA'!L107</f>
        <v>5</v>
      </c>
      <c r="N107" s="191">
        <f>+'POBLACION DE REFERENCIA'!M107</f>
        <v>5</v>
      </c>
      <c r="O107" s="191">
        <f>+'POBLACION DE REFERENCIA'!N107</f>
        <v>5</v>
      </c>
      <c r="P107" s="191">
        <f>+'POBLACION DE REFERENCIA'!O107</f>
        <v>5</v>
      </c>
    </row>
    <row r="108" spans="2:18" x14ac:dyDescent="0.25"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</row>
    <row r="109" spans="2:18" x14ac:dyDescent="0.25">
      <c r="B109" s="112"/>
      <c r="C109" s="239" t="s">
        <v>24</v>
      </c>
      <c r="D109" s="249" t="s">
        <v>143</v>
      </c>
      <c r="E109" s="250"/>
      <c r="F109" s="251"/>
      <c r="G109" s="255" t="s">
        <v>39</v>
      </c>
      <c r="H109" s="255"/>
      <c r="I109" s="255"/>
      <c r="J109" s="255"/>
      <c r="K109" s="255"/>
      <c r="L109" s="255"/>
      <c r="M109" s="255"/>
      <c r="N109" s="255"/>
      <c r="O109" s="255"/>
      <c r="P109" s="255"/>
      <c r="Q109" s="112"/>
      <c r="R109" s="112"/>
    </row>
    <row r="110" spans="2:18" x14ac:dyDescent="0.25">
      <c r="B110" s="112"/>
      <c r="C110" s="239"/>
      <c r="D110" s="259">
        <v>0</v>
      </c>
      <c r="E110" s="260"/>
      <c r="F110" s="261"/>
      <c r="G110" s="24">
        <v>1</v>
      </c>
      <c r="H110" s="24">
        <v>2</v>
      </c>
      <c r="I110" s="24">
        <v>3</v>
      </c>
      <c r="J110" s="24">
        <v>4</v>
      </c>
      <c r="K110" s="24">
        <v>5</v>
      </c>
      <c r="L110" s="24">
        <v>6</v>
      </c>
      <c r="M110" s="24">
        <v>7</v>
      </c>
      <c r="N110" s="24">
        <v>8</v>
      </c>
      <c r="O110" s="24">
        <v>9</v>
      </c>
      <c r="P110" s="24">
        <v>10</v>
      </c>
      <c r="Q110" s="112"/>
      <c r="R110" s="112"/>
    </row>
    <row r="111" spans="2:18" x14ac:dyDescent="0.25">
      <c r="B111" s="112"/>
      <c r="C111" s="239"/>
      <c r="D111" s="20">
        <v>2024</v>
      </c>
      <c r="E111" s="20">
        <v>2025</v>
      </c>
      <c r="F111" s="20">
        <v>2026</v>
      </c>
      <c r="G111" s="20">
        <v>2027</v>
      </c>
      <c r="H111" s="20">
        <v>2028</v>
      </c>
      <c r="I111" s="20">
        <v>2029</v>
      </c>
      <c r="J111" s="20">
        <v>2030</v>
      </c>
      <c r="K111" s="20">
        <v>2031</v>
      </c>
      <c r="L111" s="20">
        <v>2032</v>
      </c>
      <c r="M111" s="20">
        <v>2033</v>
      </c>
      <c r="N111" s="20">
        <v>2034</v>
      </c>
      <c r="O111" s="20">
        <v>2035</v>
      </c>
      <c r="P111" s="20">
        <v>2036</v>
      </c>
      <c r="Q111" s="112"/>
      <c r="R111" s="112"/>
    </row>
    <row r="112" spans="2:18" x14ac:dyDescent="0.25">
      <c r="B112" s="112"/>
      <c r="C112" s="115" t="s">
        <v>190</v>
      </c>
      <c r="D112" s="97">
        <f>SUM(D113:D118)</f>
        <v>364</v>
      </c>
      <c r="E112" s="97">
        <f>SUM(E113:E118)</f>
        <v>364</v>
      </c>
      <c r="F112" s="97">
        <f>SUM(F113:F118)</f>
        <v>364</v>
      </c>
      <c r="G112" s="97">
        <f t="shared" ref="G112:P112" si="16">SUM(G113:G118)</f>
        <v>364</v>
      </c>
      <c r="H112" s="97">
        <f t="shared" si="16"/>
        <v>364</v>
      </c>
      <c r="I112" s="97">
        <f t="shared" si="16"/>
        <v>364</v>
      </c>
      <c r="J112" s="97">
        <f t="shared" si="16"/>
        <v>364</v>
      </c>
      <c r="K112" s="97">
        <f t="shared" si="16"/>
        <v>364</v>
      </c>
      <c r="L112" s="97">
        <f t="shared" si="16"/>
        <v>364</v>
      </c>
      <c r="M112" s="97">
        <f t="shared" si="16"/>
        <v>364</v>
      </c>
      <c r="N112" s="97">
        <f t="shared" si="16"/>
        <v>364</v>
      </c>
      <c r="O112" s="97">
        <f t="shared" si="16"/>
        <v>364</v>
      </c>
      <c r="P112" s="97">
        <f t="shared" si="16"/>
        <v>364</v>
      </c>
      <c r="Q112" s="112"/>
      <c r="R112" s="112"/>
    </row>
    <row r="113" spans="2:18" x14ac:dyDescent="0.25">
      <c r="B113" s="112"/>
      <c r="C113" s="105" t="s">
        <v>181</v>
      </c>
      <c r="D113" s="96">
        <f>+'POBLACION DE REFERENCIA'!C113</f>
        <v>54</v>
      </c>
      <c r="E113" s="96">
        <f>+'POBLACION DE REFERENCIA'!D113</f>
        <v>54</v>
      </c>
      <c r="F113" s="118">
        <f>+'POBLACION DE REFERENCIA'!E113</f>
        <v>54</v>
      </c>
      <c r="G113" s="187">
        <f>+'POBLACION DE REFERENCIA'!F113</f>
        <v>54</v>
      </c>
      <c r="H113" s="186">
        <f>+'POBLACION DE REFERENCIA'!G113</f>
        <v>54</v>
      </c>
      <c r="I113" s="186">
        <f>+'POBLACION DE REFERENCIA'!H113</f>
        <v>54</v>
      </c>
      <c r="J113" s="186">
        <f>+'POBLACION DE REFERENCIA'!I113</f>
        <v>54</v>
      </c>
      <c r="K113" s="186">
        <f>+'POBLACION DE REFERENCIA'!J113</f>
        <v>54</v>
      </c>
      <c r="L113" s="186">
        <f>+'POBLACION DE REFERENCIA'!K113</f>
        <v>54</v>
      </c>
      <c r="M113" s="186">
        <f>+'POBLACION DE REFERENCIA'!L113</f>
        <v>54</v>
      </c>
      <c r="N113" s="186">
        <f>+'POBLACION DE REFERENCIA'!M113</f>
        <v>54</v>
      </c>
      <c r="O113" s="186">
        <f>+'POBLACION DE REFERENCIA'!N113</f>
        <v>54</v>
      </c>
      <c r="P113" s="186">
        <f>+'POBLACION DE REFERENCIA'!O113</f>
        <v>54</v>
      </c>
      <c r="Q113" s="112"/>
      <c r="R113" s="112"/>
    </row>
    <row r="114" spans="2:18" x14ac:dyDescent="0.25">
      <c r="B114" s="112"/>
      <c r="C114" s="51" t="s">
        <v>182</v>
      </c>
      <c r="D114" s="96">
        <f>+'POBLACION DE REFERENCIA'!C114</f>
        <v>87</v>
      </c>
      <c r="E114" s="96">
        <f>+'POBLACION DE REFERENCIA'!D114</f>
        <v>87</v>
      </c>
      <c r="F114" s="118">
        <f>+'POBLACION DE REFERENCIA'!E114</f>
        <v>87</v>
      </c>
      <c r="G114" s="185">
        <f>+'POBLACION DE REFERENCIA'!F114</f>
        <v>87</v>
      </c>
      <c r="H114" s="122">
        <f>+'POBLACION DE REFERENCIA'!G114</f>
        <v>87</v>
      </c>
      <c r="I114" s="122">
        <f>+'POBLACION DE REFERENCIA'!H114</f>
        <v>87</v>
      </c>
      <c r="J114" s="122">
        <f>+'POBLACION DE REFERENCIA'!I114</f>
        <v>87</v>
      </c>
      <c r="K114" s="122">
        <f>+'POBLACION DE REFERENCIA'!J114</f>
        <v>87</v>
      </c>
      <c r="L114" s="122">
        <f>+'POBLACION DE REFERENCIA'!K114</f>
        <v>87</v>
      </c>
      <c r="M114" s="122">
        <f>+'POBLACION DE REFERENCIA'!L114</f>
        <v>87</v>
      </c>
      <c r="N114" s="122">
        <f>+'POBLACION DE REFERENCIA'!M114</f>
        <v>87</v>
      </c>
      <c r="O114" s="122">
        <f>+'POBLACION DE REFERENCIA'!N114</f>
        <v>87</v>
      </c>
      <c r="P114" s="122">
        <f>+'POBLACION DE REFERENCIA'!O114</f>
        <v>87</v>
      </c>
      <c r="Q114" s="112"/>
      <c r="R114" s="112"/>
    </row>
    <row r="115" spans="2:18" x14ac:dyDescent="0.25">
      <c r="B115" s="112"/>
      <c r="C115" s="51" t="s">
        <v>183</v>
      </c>
      <c r="D115" s="96">
        <f>+'POBLACION DE REFERENCIA'!C115</f>
        <v>66</v>
      </c>
      <c r="E115" s="96">
        <f>+'POBLACION DE REFERENCIA'!D115</f>
        <v>66</v>
      </c>
      <c r="F115" s="118">
        <f>+'POBLACION DE REFERENCIA'!E115</f>
        <v>66</v>
      </c>
      <c r="G115" s="185">
        <f>+'POBLACION DE REFERENCIA'!F115</f>
        <v>66</v>
      </c>
      <c r="H115" s="122">
        <f>+'POBLACION DE REFERENCIA'!G115</f>
        <v>66</v>
      </c>
      <c r="I115" s="122">
        <f>+'POBLACION DE REFERENCIA'!H115</f>
        <v>66</v>
      </c>
      <c r="J115" s="122">
        <f>+'POBLACION DE REFERENCIA'!I115</f>
        <v>66</v>
      </c>
      <c r="K115" s="122">
        <f>+'POBLACION DE REFERENCIA'!J115</f>
        <v>66</v>
      </c>
      <c r="L115" s="122">
        <f>+'POBLACION DE REFERENCIA'!K115</f>
        <v>66</v>
      </c>
      <c r="M115" s="122">
        <f>+'POBLACION DE REFERENCIA'!L115</f>
        <v>66</v>
      </c>
      <c r="N115" s="122">
        <f>+'POBLACION DE REFERENCIA'!M115</f>
        <v>66</v>
      </c>
      <c r="O115" s="122">
        <f>+'POBLACION DE REFERENCIA'!N115</f>
        <v>66</v>
      </c>
      <c r="P115" s="122">
        <f>+'POBLACION DE REFERENCIA'!O115</f>
        <v>66</v>
      </c>
      <c r="Q115" s="112"/>
      <c r="R115" s="112"/>
    </row>
    <row r="116" spans="2:18" x14ac:dyDescent="0.25">
      <c r="B116" s="112"/>
      <c r="C116" s="51" t="s">
        <v>184</v>
      </c>
      <c r="D116" s="96">
        <f>+'POBLACION DE REFERENCIA'!C116</f>
        <v>54</v>
      </c>
      <c r="E116" s="96">
        <f>+'POBLACION DE REFERENCIA'!D116</f>
        <v>54</v>
      </c>
      <c r="F116" s="118">
        <f>+'POBLACION DE REFERENCIA'!E116</f>
        <v>54</v>
      </c>
      <c r="G116" s="185">
        <f>+'POBLACION DE REFERENCIA'!F116</f>
        <v>54</v>
      </c>
      <c r="H116" s="122">
        <f>+'POBLACION DE REFERENCIA'!G116</f>
        <v>54</v>
      </c>
      <c r="I116" s="122">
        <f>+'POBLACION DE REFERENCIA'!H116</f>
        <v>54</v>
      </c>
      <c r="J116" s="122">
        <f>+'POBLACION DE REFERENCIA'!I116</f>
        <v>54</v>
      </c>
      <c r="K116" s="122">
        <f>+'POBLACION DE REFERENCIA'!J116</f>
        <v>54</v>
      </c>
      <c r="L116" s="122">
        <f>+'POBLACION DE REFERENCIA'!K116</f>
        <v>54</v>
      </c>
      <c r="M116" s="122">
        <f>+'POBLACION DE REFERENCIA'!L116</f>
        <v>54</v>
      </c>
      <c r="N116" s="122">
        <f>+'POBLACION DE REFERENCIA'!M116</f>
        <v>54</v>
      </c>
      <c r="O116" s="122">
        <f>+'POBLACION DE REFERENCIA'!N116</f>
        <v>54</v>
      </c>
      <c r="P116" s="122">
        <f>+'POBLACION DE REFERENCIA'!O116</f>
        <v>54</v>
      </c>
      <c r="Q116" s="112"/>
      <c r="R116" s="112"/>
    </row>
    <row r="117" spans="2:18" x14ac:dyDescent="0.25">
      <c r="B117" s="112"/>
      <c r="C117" s="51" t="s">
        <v>185</v>
      </c>
      <c r="D117" s="96">
        <f>+'POBLACION DE REFERENCIA'!C117</f>
        <v>46</v>
      </c>
      <c r="E117" s="96">
        <f>+'POBLACION DE REFERENCIA'!D117</f>
        <v>46</v>
      </c>
      <c r="F117" s="118">
        <f>+'POBLACION DE REFERENCIA'!E117</f>
        <v>46</v>
      </c>
      <c r="G117" s="185">
        <f>+'POBLACION DE REFERENCIA'!F117</f>
        <v>46</v>
      </c>
      <c r="H117" s="122">
        <f>+'POBLACION DE REFERENCIA'!G117</f>
        <v>46</v>
      </c>
      <c r="I117" s="122">
        <f>+'POBLACION DE REFERENCIA'!H117</f>
        <v>46</v>
      </c>
      <c r="J117" s="122">
        <f>+'POBLACION DE REFERENCIA'!I117</f>
        <v>46</v>
      </c>
      <c r="K117" s="122">
        <f>+'POBLACION DE REFERENCIA'!J117</f>
        <v>46</v>
      </c>
      <c r="L117" s="122">
        <f>+'POBLACION DE REFERENCIA'!K117</f>
        <v>46</v>
      </c>
      <c r="M117" s="122">
        <f>+'POBLACION DE REFERENCIA'!L117</f>
        <v>46</v>
      </c>
      <c r="N117" s="122">
        <f>+'POBLACION DE REFERENCIA'!M117</f>
        <v>46</v>
      </c>
      <c r="O117" s="122">
        <f>+'POBLACION DE REFERENCIA'!N117</f>
        <v>46</v>
      </c>
      <c r="P117" s="122">
        <f>+'POBLACION DE REFERENCIA'!O117</f>
        <v>46</v>
      </c>
      <c r="Q117" s="112"/>
      <c r="R117" s="112"/>
    </row>
    <row r="118" spans="2:18" x14ac:dyDescent="0.25">
      <c r="B118" s="112"/>
      <c r="C118" s="109" t="s">
        <v>186</v>
      </c>
      <c r="D118" s="96">
        <f>+'POBLACION DE REFERENCIA'!C118</f>
        <v>57</v>
      </c>
      <c r="E118" s="96">
        <f>+'POBLACION DE REFERENCIA'!D118</f>
        <v>57</v>
      </c>
      <c r="F118" s="118">
        <f>+'POBLACION DE REFERENCIA'!E118</f>
        <v>57</v>
      </c>
      <c r="G118" s="179">
        <f>+'POBLACION DE REFERENCIA'!F118</f>
        <v>57</v>
      </c>
      <c r="H118" s="184">
        <f>+'POBLACION DE REFERENCIA'!G118</f>
        <v>57</v>
      </c>
      <c r="I118" s="184">
        <f>+'POBLACION DE REFERENCIA'!H118</f>
        <v>57</v>
      </c>
      <c r="J118" s="184">
        <f>+'POBLACION DE REFERENCIA'!I118</f>
        <v>57</v>
      </c>
      <c r="K118" s="184">
        <f>+'POBLACION DE REFERENCIA'!J118</f>
        <v>57</v>
      </c>
      <c r="L118" s="184">
        <f>+'POBLACION DE REFERENCIA'!K118</f>
        <v>57</v>
      </c>
      <c r="M118" s="184">
        <f>+'POBLACION DE REFERENCIA'!L118</f>
        <v>57</v>
      </c>
      <c r="N118" s="184">
        <f>+'POBLACION DE REFERENCIA'!M118</f>
        <v>57</v>
      </c>
      <c r="O118" s="184">
        <f>+'POBLACION DE REFERENCIA'!N118</f>
        <v>57</v>
      </c>
      <c r="P118" s="184">
        <f>+'POBLACION DE REFERENCIA'!O118</f>
        <v>57</v>
      </c>
      <c r="Q118" s="112"/>
      <c r="R118" s="112"/>
    </row>
    <row r="120" spans="2:18" x14ac:dyDescent="0.25">
      <c r="C120" s="252" t="s">
        <v>38</v>
      </c>
      <c r="D120" s="249" t="s">
        <v>143</v>
      </c>
      <c r="E120" s="250"/>
      <c r="F120" s="251"/>
      <c r="G120" s="255" t="s">
        <v>39</v>
      </c>
      <c r="H120" s="255"/>
      <c r="I120" s="255"/>
      <c r="J120" s="255"/>
      <c r="K120" s="255"/>
      <c r="L120" s="255"/>
      <c r="M120" s="255"/>
      <c r="N120" s="255"/>
      <c r="O120" s="255"/>
      <c r="P120" s="255"/>
    </row>
    <row r="121" spans="2:18" x14ac:dyDescent="0.25">
      <c r="C121" s="253"/>
      <c r="D121" s="239">
        <v>0</v>
      </c>
      <c r="E121" s="239"/>
      <c r="F121" s="239"/>
      <c r="G121" s="24">
        <v>1</v>
      </c>
      <c r="H121" s="25">
        <v>2</v>
      </c>
      <c r="I121" s="25">
        <v>3</v>
      </c>
      <c r="J121" s="25">
        <v>4</v>
      </c>
      <c r="K121" s="25">
        <v>5</v>
      </c>
      <c r="L121" s="25">
        <v>6</v>
      </c>
      <c r="M121" s="25">
        <v>7</v>
      </c>
      <c r="N121" s="25">
        <v>8</v>
      </c>
      <c r="O121" s="25">
        <v>9</v>
      </c>
      <c r="P121" s="24">
        <v>10</v>
      </c>
    </row>
    <row r="122" spans="2:18" x14ac:dyDescent="0.25">
      <c r="C122" s="254"/>
      <c r="D122" s="95">
        <f t="shared" ref="D122:P122" si="17">+D100</f>
        <v>2024</v>
      </c>
      <c r="E122" s="95">
        <f t="shared" si="17"/>
        <v>2025</v>
      </c>
      <c r="F122" s="95">
        <f t="shared" si="17"/>
        <v>2026</v>
      </c>
      <c r="G122" s="95">
        <f t="shared" si="17"/>
        <v>2027</v>
      </c>
      <c r="H122" s="95">
        <f t="shared" si="17"/>
        <v>2028</v>
      </c>
      <c r="I122" s="95">
        <f t="shared" si="17"/>
        <v>2029</v>
      </c>
      <c r="J122" s="95">
        <f t="shared" si="17"/>
        <v>2030</v>
      </c>
      <c r="K122" s="95">
        <f t="shared" si="17"/>
        <v>2031</v>
      </c>
      <c r="L122" s="95">
        <f t="shared" si="17"/>
        <v>2032</v>
      </c>
      <c r="M122" s="95">
        <f t="shared" si="17"/>
        <v>2033</v>
      </c>
      <c r="N122" s="95">
        <f t="shared" si="17"/>
        <v>2034</v>
      </c>
      <c r="O122" s="95">
        <f t="shared" si="17"/>
        <v>2035</v>
      </c>
      <c r="P122" s="95">
        <f t="shared" si="17"/>
        <v>2036</v>
      </c>
    </row>
    <row r="123" spans="2:18" ht="25.5" x14ac:dyDescent="0.25">
      <c r="C123" s="28" t="s">
        <v>387</v>
      </c>
      <c r="D123" s="98">
        <f>+SUM(D124:D129)</f>
        <v>364</v>
      </c>
      <c r="E123" s="98">
        <f>+SUM(E124:E129)</f>
        <v>364</v>
      </c>
      <c r="F123" s="98">
        <f t="shared" ref="F123:P123" si="18">+SUM(F124:F129)</f>
        <v>364</v>
      </c>
      <c r="G123" s="106">
        <f t="shared" si="18"/>
        <v>364</v>
      </c>
      <c r="H123" s="106">
        <f t="shared" si="18"/>
        <v>364</v>
      </c>
      <c r="I123" s="106">
        <f t="shared" si="18"/>
        <v>364</v>
      </c>
      <c r="J123" s="106">
        <f t="shared" si="18"/>
        <v>364</v>
      </c>
      <c r="K123" s="106">
        <f t="shared" si="18"/>
        <v>364</v>
      </c>
      <c r="L123" s="106">
        <f t="shared" si="18"/>
        <v>364</v>
      </c>
      <c r="M123" s="106">
        <f t="shared" si="18"/>
        <v>364</v>
      </c>
      <c r="N123" s="106">
        <f t="shared" si="18"/>
        <v>364</v>
      </c>
      <c r="O123" s="106">
        <f t="shared" si="18"/>
        <v>364</v>
      </c>
      <c r="P123" s="106">
        <f t="shared" si="18"/>
        <v>364</v>
      </c>
    </row>
    <row r="124" spans="2:18" x14ac:dyDescent="0.25">
      <c r="C124" s="105" t="s">
        <v>181</v>
      </c>
      <c r="D124" s="94">
        <f>+'POBLACION DE REFERENCIA'!C124</f>
        <v>54</v>
      </c>
      <c r="E124" s="94">
        <f>+'POBLACION DE REFERENCIA'!D124</f>
        <v>54</v>
      </c>
      <c r="F124" s="128">
        <f>+'POBLACION DE REFERENCIA'!E124</f>
        <v>54</v>
      </c>
      <c r="G124" s="192">
        <f>+'POBLACION DE REFERENCIA'!F124</f>
        <v>54</v>
      </c>
      <c r="H124" s="193">
        <f>+'POBLACION DE REFERENCIA'!G124</f>
        <v>54</v>
      </c>
      <c r="I124" s="193">
        <f>+'POBLACION DE REFERENCIA'!H124</f>
        <v>54</v>
      </c>
      <c r="J124" s="193">
        <f>+'POBLACION DE REFERENCIA'!I124</f>
        <v>54</v>
      </c>
      <c r="K124" s="193">
        <f>+'POBLACION DE REFERENCIA'!J124</f>
        <v>54</v>
      </c>
      <c r="L124" s="193">
        <f>+'POBLACION DE REFERENCIA'!K124</f>
        <v>54</v>
      </c>
      <c r="M124" s="193">
        <f>+'POBLACION DE REFERENCIA'!L124</f>
        <v>54</v>
      </c>
      <c r="N124" s="193">
        <f>+'POBLACION DE REFERENCIA'!M124</f>
        <v>54</v>
      </c>
      <c r="O124" s="193">
        <f>+'POBLACION DE REFERENCIA'!N124</f>
        <v>54</v>
      </c>
      <c r="P124" s="193">
        <f>+'POBLACION DE REFERENCIA'!O124</f>
        <v>54</v>
      </c>
    </row>
    <row r="125" spans="2:18" x14ac:dyDescent="0.25">
      <c r="C125" s="51" t="s">
        <v>182</v>
      </c>
      <c r="D125" s="94">
        <f>+'POBLACION DE REFERENCIA'!C125</f>
        <v>87</v>
      </c>
      <c r="E125" s="94">
        <f>+'POBLACION DE REFERENCIA'!D125</f>
        <v>87</v>
      </c>
      <c r="F125" s="128">
        <f>+'POBLACION DE REFERENCIA'!E125</f>
        <v>87</v>
      </c>
      <c r="G125" s="189">
        <f>+'POBLACION DE REFERENCIA'!F125</f>
        <v>87</v>
      </c>
      <c r="H125" s="124">
        <f>+'POBLACION DE REFERENCIA'!G125</f>
        <v>87</v>
      </c>
      <c r="I125" s="124">
        <f>+'POBLACION DE REFERENCIA'!H125</f>
        <v>87</v>
      </c>
      <c r="J125" s="124">
        <f>+'POBLACION DE REFERENCIA'!I125</f>
        <v>87</v>
      </c>
      <c r="K125" s="124">
        <f>+'POBLACION DE REFERENCIA'!J125</f>
        <v>87</v>
      </c>
      <c r="L125" s="124">
        <f>+'POBLACION DE REFERENCIA'!K125</f>
        <v>87</v>
      </c>
      <c r="M125" s="124">
        <f>+'POBLACION DE REFERENCIA'!L125</f>
        <v>87</v>
      </c>
      <c r="N125" s="124">
        <f>+'POBLACION DE REFERENCIA'!M125</f>
        <v>87</v>
      </c>
      <c r="O125" s="124">
        <f>+'POBLACION DE REFERENCIA'!N125</f>
        <v>87</v>
      </c>
      <c r="P125" s="124">
        <f>+'POBLACION DE REFERENCIA'!O125</f>
        <v>87</v>
      </c>
    </row>
    <row r="126" spans="2:18" x14ac:dyDescent="0.25">
      <c r="C126" s="51" t="s">
        <v>183</v>
      </c>
      <c r="D126" s="94">
        <f>+'POBLACION DE REFERENCIA'!C126</f>
        <v>66</v>
      </c>
      <c r="E126" s="94">
        <f>+'POBLACION DE REFERENCIA'!D126</f>
        <v>66</v>
      </c>
      <c r="F126" s="128">
        <f>+'POBLACION DE REFERENCIA'!E126</f>
        <v>66</v>
      </c>
      <c r="G126" s="189">
        <f>+'POBLACION DE REFERENCIA'!F126</f>
        <v>66</v>
      </c>
      <c r="H126" s="124">
        <f>+'POBLACION DE REFERENCIA'!G126</f>
        <v>66</v>
      </c>
      <c r="I126" s="124">
        <f>+'POBLACION DE REFERENCIA'!H126</f>
        <v>66</v>
      </c>
      <c r="J126" s="124">
        <f>+'POBLACION DE REFERENCIA'!I126</f>
        <v>66</v>
      </c>
      <c r="K126" s="124">
        <f>+'POBLACION DE REFERENCIA'!J126</f>
        <v>66</v>
      </c>
      <c r="L126" s="124">
        <f>+'POBLACION DE REFERENCIA'!K126</f>
        <v>66</v>
      </c>
      <c r="M126" s="124">
        <f>+'POBLACION DE REFERENCIA'!L126</f>
        <v>66</v>
      </c>
      <c r="N126" s="124">
        <f>+'POBLACION DE REFERENCIA'!M126</f>
        <v>66</v>
      </c>
      <c r="O126" s="124">
        <f>+'POBLACION DE REFERENCIA'!N126</f>
        <v>66</v>
      </c>
      <c r="P126" s="124">
        <f>+'POBLACION DE REFERENCIA'!O126</f>
        <v>66</v>
      </c>
    </row>
    <row r="127" spans="2:18" x14ac:dyDescent="0.25">
      <c r="C127" s="51" t="s">
        <v>184</v>
      </c>
      <c r="D127" s="94">
        <f>+'POBLACION DE REFERENCIA'!C127</f>
        <v>54</v>
      </c>
      <c r="E127" s="94">
        <f>+'POBLACION DE REFERENCIA'!D127</f>
        <v>54</v>
      </c>
      <c r="F127" s="128">
        <f>+'POBLACION DE REFERENCIA'!E127</f>
        <v>54</v>
      </c>
      <c r="G127" s="189">
        <f>+'POBLACION DE REFERENCIA'!F127</f>
        <v>54</v>
      </c>
      <c r="H127" s="124">
        <f>+'POBLACION DE REFERENCIA'!G127</f>
        <v>54</v>
      </c>
      <c r="I127" s="124">
        <f>+'POBLACION DE REFERENCIA'!H127</f>
        <v>54</v>
      </c>
      <c r="J127" s="124">
        <f>+'POBLACION DE REFERENCIA'!I127</f>
        <v>54</v>
      </c>
      <c r="K127" s="124">
        <f>+'POBLACION DE REFERENCIA'!J127</f>
        <v>54</v>
      </c>
      <c r="L127" s="124">
        <f>+'POBLACION DE REFERENCIA'!K127</f>
        <v>54</v>
      </c>
      <c r="M127" s="124">
        <f>+'POBLACION DE REFERENCIA'!L127</f>
        <v>54</v>
      </c>
      <c r="N127" s="124">
        <f>+'POBLACION DE REFERENCIA'!M127</f>
        <v>54</v>
      </c>
      <c r="O127" s="124">
        <f>+'POBLACION DE REFERENCIA'!N127</f>
        <v>54</v>
      </c>
      <c r="P127" s="124">
        <f>+'POBLACION DE REFERENCIA'!O127</f>
        <v>54</v>
      </c>
    </row>
    <row r="128" spans="2:18" x14ac:dyDescent="0.25">
      <c r="C128" s="51" t="s">
        <v>185</v>
      </c>
      <c r="D128" s="94">
        <f>+'POBLACION DE REFERENCIA'!C128</f>
        <v>46</v>
      </c>
      <c r="E128" s="94">
        <f>+'POBLACION DE REFERENCIA'!D128</f>
        <v>46</v>
      </c>
      <c r="F128" s="128">
        <f>+'POBLACION DE REFERENCIA'!E128</f>
        <v>46</v>
      </c>
      <c r="G128" s="189">
        <f>+'POBLACION DE REFERENCIA'!F128</f>
        <v>46</v>
      </c>
      <c r="H128" s="124">
        <f>+'POBLACION DE REFERENCIA'!G128</f>
        <v>46</v>
      </c>
      <c r="I128" s="124">
        <f>+'POBLACION DE REFERENCIA'!H128</f>
        <v>46</v>
      </c>
      <c r="J128" s="124">
        <f>+'POBLACION DE REFERENCIA'!I128</f>
        <v>46</v>
      </c>
      <c r="K128" s="124">
        <f>+'POBLACION DE REFERENCIA'!J128</f>
        <v>46</v>
      </c>
      <c r="L128" s="124">
        <f>+'POBLACION DE REFERENCIA'!K128</f>
        <v>46</v>
      </c>
      <c r="M128" s="124">
        <f>+'POBLACION DE REFERENCIA'!L128</f>
        <v>46</v>
      </c>
      <c r="N128" s="124">
        <f>+'POBLACION DE REFERENCIA'!M128</f>
        <v>46</v>
      </c>
      <c r="O128" s="124">
        <f>+'POBLACION DE REFERENCIA'!N128</f>
        <v>46</v>
      </c>
      <c r="P128" s="124">
        <f>+'POBLACION DE REFERENCIA'!O128</f>
        <v>46</v>
      </c>
    </row>
    <row r="129" spans="2:18" x14ac:dyDescent="0.25">
      <c r="C129" s="109" t="s">
        <v>186</v>
      </c>
      <c r="D129" s="94">
        <f>+'POBLACION DE REFERENCIA'!C129</f>
        <v>57</v>
      </c>
      <c r="E129" s="94">
        <f>+'POBLACION DE REFERENCIA'!D129</f>
        <v>57</v>
      </c>
      <c r="F129" s="128">
        <f>+'POBLACION DE REFERENCIA'!E129</f>
        <v>57</v>
      </c>
      <c r="G129" s="190">
        <f>+'POBLACION DE REFERENCIA'!F129</f>
        <v>57</v>
      </c>
      <c r="H129" s="191">
        <f>+'POBLACION DE REFERENCIA'!G129</f>
        <v>57</v>
      </c>
      <c r="I129" s="191">
        <f>+'POBLACION DE REFERENCIA'!H129</f>
        <v>57</v>
      </c>
      <c r="J129" s="191">
        <f>+'POBLACION DE REFERENCIA'!I129</f>
        <v>57</v>
      </c>
      <c r="K129" s="191">
        <f>+'POBLACION DE REFERENCIA'!J129</f>
        <v>57</v>
      </c>
      <c r="L129" s="191">
        <f>+'POBLACION DE REFERENCIA'!K129</f>
        <v>57</v>
      </c>
      <c r="M129" s="191">
        <f>+'POBLACION DE REFERENCIA'!L129</f>
        <v>57</v>
      </c>
      <c r="N129" s="191">
        <f>+'POBLACION DE REFERENCIA'!M129</f>
        <v>57</v>
      </c>
      <c r="O129" s="191">
        <f>+'POBLACION DE REFERENCIA'!N129</f>
        <v>57</v>
      </c>
      <c r="P129" s="191">
        <f>+'POBLACION DE REFERENCIA'!O129</f>
        <v>57</v>
      </c>
    </row>
    <row r="130" spans="2:18" x14ac:dyDescent="0.25">
      <c r="B130" s="256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</row>
    <row r="131" spans="2:18" x14ac:dyDescent="0.25">
      <c r="B131" s="112"/>
      <c r="C131" s="239" t="s">
        <v>24</v>
      </c>
      <c r="D131" s="249" t="s">
        <v>143</v>
      </c>
      <c r="E131" s="250"/>
      <c r="F131" s="251"/>
      <c r="G131" s="255" t="s">
        <v>39</v>
      </c>
      <c r="H131" s="255"/>
      <c r="I131" s="255"/>
      <c r="J131" s="255"/>
      <c r="K131" s="255"/>
      <c r="L131" s="255"/>
      <c r="M131" s="255"/>
      <c r="N131" s="255"/>
      <c r="O131" s="255"/>
      <c r="P131" s="255"/>
      <c r="Q131" s="112"/>
      <c r="R131" s="112"/>
    </row>
    <row r="132" spans="2:18" x14ac:dyDescent="0.25">
      <c r="B132" s="112"/>
      <c r="C132" s="239"/>
      <c r="D132" s="259">
        <v>0</v>
      </c>
      <c r="E132" s="260"/>
      <c r="F132" s="261"/>
      <c r="G132" s="24">
        <v>1</v>
      </c>
      <c r="H132" s="24">
        <v>2</v>
      </c>
      <c r="I132" s="24">
        <v>3</v>
      </c>
      <c r="J132" s="24">
        <v>4</v>
      </c>
      <c r="K132" s="24">
        <v>5</v>
      </c>
      <c r="L132" s="24">
        <v>6</v>
      </c>
      <c r="M132" s="24">
        <v>7</v>
      </c>
      <c r="N132" s="24">
        <v>8</v>
      </c>
      <c r="O132" s="24">
        <v>9</v>
      </c>
      <c r="P132" s="24">
        <v>10</v>
      </c>
      <c r="Q132" s="112"/>
      <c r="R132" s="112"/>
    </row>
    <row r="133" spans="2:18" x14ac:dyDescent="0.25">
      <c r="B133" s="112"/>
      <c r="C133" s="239"/>
      <c r="D133" s="20">
        <v>2024</v>
      </c>
      <c r="E133" s="20">
        <v>2025</v>
      </c>
      <c r="F133" s="20">
        <v>2026</v>
      </c>
      <c r="G133" s="20">
        <v>2027</v>
      </c>
      <c r="H133" s="20">
        <v>2028</v>
      </c>
      <c r="I133" s="20">
        <v>2029</v>
      </c>
      <c r="J133" s="20">
        <v>2030</v>
      </c>
      <c r="K133" s="20">
        <v>2031</v>
      </c>
      <c r="L133" s="20">
        <v>2032</v>
      </c>
      <c r="M133" s="20">
        <v>2033</v>
      </c>
      <c r="N133" s="20">
        <v>2034</v>
      </c>
      <c r="O133" s="20">
        <v>2035</v>
      </c>
      <c r="P133" s="20">
        <v>2036</v>
      </c>
      <c r="Q133" s="112"/>
      <c r="R133" s="112"/>
    </row>
    <row r="134" spans="2:18" x14ac:dyDescent="0.25">
      <c r="B134" s="112"/>
      <c r="C134" s="115" t="s">
        <v>191</v>
      </c>
      <c r="D134" s="97">
        <f>SUM(D135:D135)</f>
        <v>18</v>
      </c>
      <c r="E134" s="97">
        <f t="shared" ref="E134:P134" si="19">SUM(E135:E135)</f>
        <v>18</v>
      </c>
      <c r="F134" s="97">
        <f t="shared" si="19"/>
        <v>18</v>
      </c>
      <c r="G134" s="97">
        <f t="shared" si="19"/>
        <v>18</v>
      </c>
      <c r="H134" s="97">
        <f t="shared" si="19"/>
        <v>18</v>
      </c>
      <c r="I134" s="97">
        <f t="shared" si="19"/>
        <v>18</v>
      </c>
      <c r="J134" s="97">
        <f t="shared" si="19"/>
        <v>18</v>
      </c>
      <c r="K134" s="97">
        <f t="shared" si="19"/>
        <v>18</v>
      </c>
      <c r="L134" s="97">
        <f t="shared" si="19"/>
        <v>18</v>
      </c>
      <c r="M134" s="97">
        <f t="shared" si="19"/>
        <v>18</v>
      </c>
      <c r="N134" s="97">
        <f t="shared" si="19"/>
        <v>18</v>
      </c>
      <c r="O134" s="97">
        <f t="shared" si="19"/>
        <v>18</v>
      </c>
      <c r="P134" s="97">
        <f t="shared" si="19"/>
        <v>18</v>
      </c>
      <c r="Q134" s="112"/>
      <c r="R134" s="112"/>
    </row>
    <row r="135" spans="2:18" x14ac:dyDescent="0.25">
      <c r="B135" s="112"/>
      <c r="C135" s="105" t="s">
        <v>33</v>
      </c>
      <c r="D135" s="96">
        <f>+'POBLACION DE REFERENCIA'!C135</f>
        <v>18</v>
      </c>
      <c r="E135" s="96">
        <f>+'POBLACION DE REFERENCIA'!D135</f>
        <v>18</v>
      </c>
      <c r="F135" s="118">
        <f>+'POBLACION DE REFERENCIA'!E135</f>
        <v>18</v>
      </c>
      <c r="G135" s="118">
        <f>+'POBLACION DE REFERENCIA'!F135</f>
        <v>18</v>
      </c>
      <c r="H135" s="142">
        <f>+'POBLACION DE REFERENCIA'!G135</f>
        <v>18</v>
      </c>
      <c r="I135" s="142">
        <f>+'POBLACION DE REFERENCIA'!H135</f>
        <v>18</v>
      </c>
      <c r="J135" s="142">
        <f>+'POBLACION DE REFERENCIA'!I135</f>
        <v>18</v>
      </c>
      <c r="K135" s="142">
        <f>+'POBLACION DE REFERENCIA'!J135</f>
        <v>18</v>
      </c>
      <c r="L135" s="142">
        <f>+'POBLACION DE REFERENCIA'!K135</f>
        <v>18</v>
      </c>
      <c r="M135" s="142">
        <f>+'POBLACION DE REFERENCIA'!L135</f>
        <v>18</v>
      </c>
      <c r="N135" s="142">
        <f>+'POBLACION DE REFERENCIA'!M135</f>
        <v>18</v>
      </c>
      <c r="O135" s="142">
        <f>+'POBLACION DE REFERENCIA'!N135</f>
        <v>18</v>
      </c>
      <c r="P135" s="142">
        <f>+'POBLACION DE REFERENCIA'!O135</f>
        <v>18</v>
      </c>
      <c r="Q135" s="112"/>
      <c r="R135" s="112"/>
    </row>
    <row r="136" spans="2:18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2:18" x14ac:dyDescent="0.25">
      <c r="C137" s="239" t="s">
        <v>24</v>
      </c>
      <c r="D137" s="249" t="s">
        <v>143</v>
      </c>
      <c r="E137" s="250"/>
      <c r="F137" s="251"/>
      <c r="G137" s="255" t="s">
        <v>39</v>
      </c>
      <c r="H137" s="255"/>
      <c r="I137" s="255"/>
      <c r="J137" s="255"/>
      <c r="K137" s="255"/>
      <c r="L137" s="255"/>
      <c r="M137" s="255"/>
      <c r="N137" s="255"/>
      <c r="O137" s="255"/>
      <c r="P137" s="255"/>
    </row>
    <row r="138" spans="2:18" x14ac:dyDescent="0.25">
      <c r="C138" s="239"/>
      <c r="D138" s="259">
        <v>0</v>
      </c>
      <c r="E138" s="260"/>
      <c r="F138" s="261"/>
      <c r="G138" s="24">
        <v>1</v>
      </c>
      <c r="H138" s="24">
        <v>2</v>
      </c>
      <c r="I138" s="24">
        <v>3</v>
      </c>
      <c r="J138" s="24">
        <v>4</v>
      </c>
      <c r="K138" s="24">
        <v>5</v>
      </c>
      <c r="L138" s="24">
        <v>6</v>
      </c>
      <c r="M138" s="24">
        <v>7</v>
      </c>
      <c r="N138" s="24">
        <v>8</v>
      </c>
      <c r="O138" s="24">
        <v>9</v>
      </c>
      <c r="P138" s="24">
        <v>10</v>
      </c>
    </row>
    <row r="139" spans="2:18" x14ac:dyDescent="0.25">
      <c r="C139" s="239"/>
      <c r="D139" s="20">
        <v>2024</v>
      </c>
      <c r="E139" s="20">
        <v>2025</v>
      </c>
      <c r="F139" s="20">
        <v>2026</v>
      </c>
      <c r="G139" s="20">
        <v>2027</v>
      </c>
      <c r="H139" s="20">
        <v>2028</v>
      </c>
      <c r="I139" s="20">
        <v>2029</v>
      </c>
      <c r="J139" s="20">
        <v>2030</v>
      </c>
      <c r="K139" s="20">
        <v>2031</v>
      </c>
      <c r="L139" s="20">
        <v>2032</v>
      </c>
      <c r="M139" s="20">
        <v>2033</v>
      </c>
      <c r="N139" s="20">
        <v>2034</v>
      </c>
      <c r="O139" s="20">
        <v>2035</v>
      </c>
      <c r="P139" s="20">
        <v>2036</v>
      </c>
    </row>
    <row r="140" spans="2:18" ht="30" customHeight="1" x14ac:dyDescent="0.25">
      <c r="C140" s="99" t="s">
        <v>208</v>
      </c>
      <c r="D140" s="97">
        <f>SUM(D141:D142)</f>
        <v>252</v>
      </c>
      <c r="E140" s="97">
        <f t="shared" ref="E140:P140" si="20">SUM(E141:E142)</f>
        <v>252</v>
      </c>
      <c r="F140" s="97">
        <f t="shared" si="20"/>
        <v>252</v>
      </c>
      <c r="G140" s="97">
        <f t="shared" si="20"/>
        <v>252</v>
      </c>
      <c r="H140" s="97">
        <f t="shared" si="20"/>
        <v>252</v>
      </c>
      <c r="I140" s="97">
        <f t="shared" si="20"/>
        <v>252</v>
      </c>
      <c r="J140" s="97">
        <f t="shared" si="20"/>
        <v>252</v>
      </c>
      <c r="K140" s="97">
        <f t="shared" si="20"/>
        <v>252</v>
      </c>
      <c r="L140" s="97">
        <f t="shared" si="20"/>
        <v>253</v>
      </c>
      <c r="M140" s="97">
        <f t="shared" si="20"/>
        <v>253</v>
      </c>
      <c r="N140" s="97">
        <f t="shared" si="20"/>
        <v>253</v>
      </c>
      <c r="O140" s="97">
        <f t="shared" si="20"/>
        <v>253</v>
      </c>
      <c r="P140" s="97">
        <f t="shared" si="20"/>
        <v>253</v>
      </c>
    </row>
    <row r="141" spans="2:18" x14ac:dyDescent="0.25">
      <c r="C141" s="105" t="s">
        <v>206</v>
      </c>
      <c r="D141" s="96">
        <f>+'POBLACION DE REFERENCIA'!C141</f>
        <v>29</v>
      </c>
      <c r="E141" s="96">
        <f>+'POBLACION DE REFERENCIA'!D141</f>
        <v>29</v>
      </c>
      <c r="F141" s="118">
        <f>+'POBLACION DE REFERENCIA'!E141</f>
        <v>29</v>
      </c>
      <c r="G141" s="187">
        <f>+'POBLACION DE REFERENCIA'!F141</f>
        <v>29</v>
      </c>
      <c r="H141" s="186">
        <f>+'POBLACION DE REFERENCIA'!G141</f>
        <v>29</v>
      </c>
      <c r="I141" s="186">
        <f>+'POBLACION DE REFERENCIA'!H141</f>
        <v>29</v>
      </c>
      <c r="J141" s="186">
        <f>+'POBLACION DE REFERENCIA'!I141</f>
        <v>29</v>
      </c>
      <c r="K141" s="186">
        <f>+'POBLACION DE REFERENCIA'!J141</f>
        <v>29</v>
      </c>
      <c r="L141" s="186">
        <f>+'POBLACION DE REFERENCIA'!K141</f>
        <v>29</v>
      </c>
      <c r="M141" s="186">
        <f>+'POBLACION DE REFERENCIA'!L141</f>
        <v>29</v>
      </c>
      <c r="N141" s="186">
        <f>+'POBLACION DE REFERENCIA'!M141</f>
        <v>29</v>
      </c>
      <c r="O141" s="186">
        <f>+'POBLACION DE REFERENCIA'!N141</f>
        <v>29</v>
      </c>
      <c r="P141" s="186">
        <f>+'POBLACION DE REFERENCIA'!O141</f>
        <v>29</v>
      </c>
    </row>
    <row r="142" spans="2:18" x14ac:dyDescent="0.25">
      <c r="C142" s="105" t="s">
        <v>207</v>
      </c>
      <c r="D142" s="96">
        <f>+'POBLACION DE REFERENCIA'!C142</f>
        <v>223</v>
      </c>
      <c r="E142" s="96">
        <f>+'POBLACION DE REFERENCIA'!D142</f>
        <v>223</v>
      </c>
      <c r="F142" s="118">
        <f>+'POBLACION DE REFERENCIA'!E142</f>
        <v>223</v>
      </c>
      <c r="G142" s="179">
        <f>+'POBLACION DE REFERENCIA'!F142</f>
        <v>223</v>
      </c>
      <c r="H142" s="184">
        <f>+'POBLACION DE REFERENCIA'!G142</f>
        <v>223</v>
      </c>
      <c r="I142" s="184">
        <f>+'POBLACION DE REFERENCIA'!H142</f>
        <v>223</v>
      </c>
      <c r="J142" s="184">
        <f>+'POBLACION DE REFERENCIA'!I142</f>
        <v>223</v>
      </c>
      <c r="K142" s="184">
        <f>+'POBLACION DE REFERENCIA'!J142</f>
        <v>223</v>
      </c>
      <c r="L142" s="184">
        <f>+'POBLACION DE REFERENCIA'!K142</f>
        <v>224</v>
      </c>
      <c r="M142" s="184">
        <f>+'POBLACION DE REFERENCIA'!L142</f>
        <v>224</v>
      </c>
      <c r="N142" s="184">
        <f>+'POBLACION DE REFERENCIA'!M142</f>
        <v>224</v>
      </c>
      <c r="O142" s="184">
        <f>+'POBLACION DE REFERENCIA'!N142</f>
        <v>224</v>
      </c>
      <c r="P142" s="184">
        <f>+'POBLACION DE REFERENCIA'!O142</f>
        <v>224</v>
      </c>
    </row>
    <row r="143" spans="2:18" x14ac:dyDescent="0.25">
      <c r="B143" s="256"/>
      <c r="C143" s="257"/>
      <c r="D143" s="258"/>
      <c r="E143" s="258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5"/>
    </row>
    <row r="144" spans="2:18" x14ac:dyDescent="0.25">
      <c r="C144" s="252" t="s">
        <v>38</v>
      </c>
      <c r="D144" s="249" t="s">
        <v>143</v>
      </c>
      <c r="E144" s="250"/>
      <c r="F144" s="251"/>
      <c r="G144" s="255" t="s">
        <v>39</v>
      </c>
      <c r="H144" s="255"/>
      <c r="I144" s="255"/>
      <c r="J144" s="255"/>
      <c r="K144" s="255"/>
      <c r="L144" s="255"/>
      <c r="M144" s="255"/>
      <c r="N144" s="255"/>
      <c r="O144" s="255"/>
      <c r="P144" s="255"/>
    </row>
    <row r="145" spans="2:18" x14ac:dyDescent="0.25">
      <c r="C145" s="253"/>
      <c r="D145" s="239">
        <v>0</v>
      </c>
      <c r="E145" s="239"/>
      <c r="F145" s="239"/>
      <c r="G145" s="24">
        <v>1</v>
      </c>
      <c r="H145" s="25">
        <v>2</v>
      </c>
      <c r="I145" s="25">
        <v>3</v>
      </c>
      <c r="J145" s="25">
        <v>4</v>
      </c>
      <c r="K145" s="25">
        <v>5</v>
      </c>
      <c r="L145" s="25">
        <v>6</v>
      </c>
      <c r="M145" s="25">
        <v>7</v>
      </c>
      <c r="N145" s="25">
        <v>8</v>
      </c>
      <c r="O145" s="25">
        <v>9</v>
      </c>
      <c r="P145" s="24">
        <v>10</v>
      </c>
    </row>
    <row r="146" spans="2:18" x14ac:dyDescent="0.25">
      <c r="C146" s="254"/>
      <c r="D146" s="95">
        <v>2024</v>
      </c>
      <c r="E146" s="95">
        <v>2025</v>
      </c>
      <c r="F146" s="95">
        <v>2026</v>
      </c>
      <c r="G146" s="95">
        <v>2027</v>
      </c>
      <c r="H146" s="95">
        <v>2028</v>
      </c>
      <c r="I146" s="95">
        <v>2029</v>
      </c>
      <c r="J146" s="95">
        <v>2030</v>
      </c>
      <c r="K146" s="95">
        <v>2031</v>
      </c>
      <c r="L146" s="95">
        <v>2032</v>
      </c>
      <c r="M146" s="95">
        <v>2033</v>
      </c>
      <c r="N146" s="95">
        <v>2034</v>
      </c>
      <c r="O146" s="95">
        <v>2035</v>
      </c>
      <c r="P146" s="95">
        <v>2036</v>
      </c>
    </row>
    <row r="147" spans="2:18" x14ac:dyDescent="0.25">
      <c r="C147" s="28" t="s">
        <v>218</v>
      </c>
      <c r="D147" s="98">
        <f>+SUM(D148:D153)</f>
        <v>364</v>
      </c>
      <c r="E147" s="98">
        <f>+SUM(E148:E153)</f>
        <v>364</v>
      </c>
      <c r="F147" s="98">
        <f t="shared" ref="F147:P147" si="21">+SUM(F148:F153)</f>
        <v>364</v>
      </c>
      <c r="G147" s="106">
        <f t="shared" si="21"/>
        <v>364</v>
      </c>
      <c r="H147" s="106">
        <f t="shared" si="21"/>
        <v>364</v>
      </c>
      <c r="I147" s="106">
        <f t="shared" si="21"/>
        <v>364</v>
      </c>
      <c r="J147" s="106">
        <f t="shared" si="21"/>
        <v>364</v>
      </c>
      <c r="K147" s="106">
        <f t="shared" si="21"/>
        <v>364</v>
      </c>
      <c r="L147" s="106">
        <f t="shared" si="21"/>
        <v>364</v>
      </c>
      <c r="M147" s="106">
        <f t="shared" si="21"/>
        <v>364</v>
      </c>
      <c r="N147" s="106">
        <f t="shared" si="21"/>
        <v>364</v>
      </c>
      <c r="O147" s="106">
        <f t="shared" si="21"/>
        <v>364</v>
      </c>
      <c r="P147" s="106">
        <f t="shared" si="21"/>
        <v>364</v>
      </c>
    </row>
    <row r="148" spans="2:18" x14ac:dyDescent="0.25">
      <c r="C148" s="105" t="s">
        <v>181</v>
      </c>
      <c r="D148" s="94">
        <f>+'POBLACION DE REFERENCIA'!C148</f>
        <v>54</v>
      </c>
      <c r="E148" s="94">
        <f>+'POBLACION DE REFERENCIA'!D148</f>
        <v>54</v>
      </c>
      <c r="F148" s="128">
        <f>+'POBLACION DE REFERENCIA'!E148</f>
        <v>54</v>
      </c>
      <c r="G148" s="192">
        <f>+'POBLACION DE REFERENCIA'!F148</f>
        <v>54</v>
      </c>
      <c r="H148" s="193">
        <f>+'POBLACION DE REFERENCIA'!G148</f>
        <v>54</v>
      </c>
      <c r="I148" s="193">
        <f>+'POBLACION DE REFERENCIA'!H148</f>
        <v>54</v>
      </c>
      <c r="J148" s="193">
        <f>+'POBLACION DE REFERENCIA'!I148</f>
        <v>54</v>
      </c>
      <c r="K148" s="193">
        <f>+'POBLACION DE REFERENCIA'!J148</f>
        <v>54</v>
      </c>
      <c r="L148" s="193">
        <f>+'POBLACION DE REFERENCIA'!K148</f>
        <v>54</v>
      </c>
      <c r="M148" s="193">
        <f>+'POBLACION DE REFERENCIA'!L148</f>
        <v>54</v>
      </c>
      <c r="N148" s="193">
        <f>+'POBLACION DE REFERENCIA'!M148</f>
        <v>54</v>
      </c>
      <c r="O148" s="193">
        <f>+'POBLACION DE REFERENCIA'!N148</f>
        <v>54</v>
      </c>
      <c r="P148" s="193">
        <f>+'POBLACION DE REFERENCIA'!O148</f>
        <v>54</v>
      </c>
    </row>
    <row r="149" spans="2:18" x14ac:dyDescent="0.25">
      <c r="C149" s="51" t="s">
        <v>182</v>
      </c>
      <c r="D149" s="94">
        <f>+'POBLACION DE REFERENCIA'!C149</f>
        <v>87</v>
      </c>
      <c r="E149" s="94">
        <f>+'POBLACION DE REFERENCIA'!D149</f>
        <v>87</v>
      </c>
      <c r="F149" s="128">
        <f>+'POBLACION DE REFERENCIA'!E149</f>
        <v>87</v>
      </c>
      <c r="G149" s="189">
        <f>+'POBLACION DE REFERENCIA'!F149</f>
        <v>87</v>
      </c>
      <c r="H149" s="124">
        <f>+'POBLACION DE REFERENCIA'!G149</f>
        <v>87</v>
      </c>
      <c r="I149" s="124">
        <f>+'POBLACION DE REFERENCIA'!H149</f>
        <v>87</v>
      </c>
      <c r="J149" s="124">
        <f>+'POBLACION DE REFERENCIA'!I149</f>
        <v>87</v>
      </c>
      <c r="K149" s="124">
        <f>+'POBLACION DE REFERENCIA'!J149</f>
        <v>87</v>
      </c>
      <c r="L149" s="124">
        <f>+'POBLACION DE REFERENCIA'!K149</f>
        <v>87</v>
      </c>
      <c r="M149" s="124">
        <f>+'POBLACION DE REFERENCIA'!L149</f>
        <v>87</v>
      </c>
      <c r="N149" s="124">
        <f>+'POBLACION DE REFERENCIA'!M149</f>
        <v>87</v>
      </c>
      <c r="O149" s="124">
        <f>+'POBLACION DE REFERENCIA'!N149</f>
        <v>87</v>
      </c>
      <c r="P149" s="124">
        <f>+'POBLACION DE REFERENCIA'!O149</f>
        <v>87</v>
      </c>
    </row>
    <row r="150" spans="2:18" x14ac:dyDescent="0.25">
      <c r="C150" s="51" t="s">
        <v>183</v>
      </c>
      <c r="D150" s="94">
        <f>+'POBLACION DE REFERENCIA'!C150</f>
        <v>66</v>
      </c>
      <c r="E150" s="94">
        <f>+'POBLACION DE REFERENCIA'!D150</f>
        <v>66</v>
      </c>
      <c r="F150" s="128">
        <f>+'POBLACION DE REFERENCIA'!E150</f>
        <v>66</v>
      </c>
      <c r="G150" s="189">
        <f>+'POBLACION DE REFERENCIA'!F150</f>
        <v>66</v>
      </c>
      <c r="H150" s="124">
        <f>+'POBLACION DE REFERENCIA'!G150</f>
        <v>66</v>
      </c>
      <c r="I150" s="124">
        <f>+'POBLACION DE REFERENCIA'!H150</f>
        <v>66</v>
      </c>
      <c r="J150" s="124">
        <f>+'POBLACION DE REFERENCIA'!I150</f>
        <v>66</v>
      </c>
      <c r="K150" s="124">
        <f>+'POBLACION DE REFERENCIA'!J150</f>
        <v>66</v>
      </c>
      <c r="L150" s="124">
        <f>+'POBLACION DE REFERENCIA'!K150</f>
        <v>66</v>
      </c>
      <c r="M150" s="124">
        <f>+'POBLACION DE REFERENCIA'!L150</f>
        <v>66</v>
      </c>
      <c r="N150" s="124">
        <f>+'POBLACION DE REFERENCIA'!M150</f>
        <v>66</v>
      </c>
      <c r="O150" s="124">
        <f>+'POBLACION DE REFERENCIA'!N150</f>
        <v>66</v>
      </c>
      <c r="P150" s="124">
        <f>+'POBLACION DE REFERENCIA'!O150</f>
        <v>66</v>
      </c>
    </row>
    <row r="151" spans="2:18" x14ac:dyDescent="0.25">
      <c r="C151" s="51" t="s">
        <v>184</v>
      </c>
      <c r="D151" s="94">
        <f>+'POBLACION DE REFERENCIA'!C151</f>
        <v>54</v>
      </c>
      <c r="E151" s="94">
        <f>+'POBLACION DE REFERENCIA'!D151</f>
        <v>54</v>
      </c>
      <c r="F151" s="128">
        <f>+'POBLACION DE REFERENCIA'!E151</f>
        <v>54</v>
      </c>
      <c r="G151" s="189">
        <f>+'POBLACION DE REFERENCIA'!F151</f>
        <v>54</v>
      </c>
      <c r="H151" s="124">
        <f>+'POBLACION DE REFERENCIA'!G151</f>
        <v>54</v>
      </c>
      <c r="I151" s="124">
        <f>+'POBLACION DE REFERENCIA'!H151</f>
        <v>54</v>
      </c>
      <c r="J151" s="124">
        <f>+'POBLACION DE REFERENCIA'!I151</f>
        <v>54</v>
      </c>
      <c r="K151" s="124">
        <f>+'POBLACION DE REFERENCIA'!J151</f>
        <v>54</v>
      </c>
      <c r="L151" s="124">
        <f>+'POBLACION DE REFERENCIA'!K151</f>
        <v>54</v>
      </c>
      <c r="M151" s="124">
        <f>+'POBLACION DE REFERENCIA'!L151</f>
        <v>54</v>
      </c>
      <c r="N151" s="124">
        <f>+'POBLACION DE REFERENCIA'!M151</f>
        <v>54</v>
      </c>
      <c r="O151" s="124">
        <f>+'POBLACION DE REFERENCIA'!N151</f>
        <v>54</v>
      </c>
      <c r="P151" s="124">
        <f>+'POBLACION DE REFERENCIA'!O151</f>
        <v>54</v>
      </c>
    </row>
    <row r="152" spans="2:18" x14ac:dyDescent="0.25">
      <c r="C152" s="51" t="s">
        <v>185</v>
      </c>
      <c r="D152" s="94">
        <f>+'POBLACION DE REFERENCIA'!C152</f>
        <v>46</v>
      </c>
      <c r="E152" s="94">
        <f>+'POBLACION DE REFERENCIA'!D152</f>
        <v>46</v>
      </c>
      <c r="F152" s="128">
        <f>+'POBLACION DE REFERENCIA'!E152</f>
        <v>46</v>
      </c>
      <c r="G152" s="189">
        <f>+'POBLACION DE REFERENCIA'!F152</f>
        <v>46</v>
      </c>
      <c r="H152" s="124">
        <f>+'POBLACION DE REFERENCIA'!G152</f>
        <v>46</v>
      </c>
      <c r="I152" s="124">
        <f>+'POBLACION DE REFERENCIA'!H152</f>
        <v>46</v>
      </c>
      <c r="J152" s="124">
        <f>+'POBLACION DE REFERENCIA'!I152</f>
        <v>46</v>
      </c>
      <c r="K152" s="124">
        <f>+'POBLACION DE REFERENCIA'!J152</f>
        <v>46</v>
      </c>
      <c r="L152" s="124">
        <f>+'POBLACION DE REFERENCIA'!K152</f>
        <v>46</v>
      </c>
      <c r="M152" s="124">
        <f>+'POBLACION DE REFERENCIA'!L152</f>
        <v>46</v>
      </c>
      <c r="N152" s="124">
        <f>+'POBLACION DE REFERENCIA'!M152</f>
        <v>46</v>
      </c>
      <c r="O152" s="124">
        <f>+'POBLACION DE REFERENCIA'!N152</f>
        <v>46</v>
      </c>
      <c r="P152" s="124">
        <f>+'POBLACION DE REFERENCIA'!O152</f>
        <v>46</v>
      </c>
    </row>
    <row r="153" spans="2:18" x14ac:dyDescent="0.25">
      <c r="C153" s="109" t="s">
        <v>186</v>
      </c>
      <c r="D153" s="94">
        <f>+'POBLACION DE REFERENCIA'!C153</f>
        <v>57</v>
      </c>
      <c r="E153" s="94">
        <f>+'POBLACION DE REFERENCIA'!D153</f>
        <v>57</v>
      </c>
      <c r="F153" s="128">
        <f>+'POBLACION DE REFERENCIA'!E153</f>
        <v>57</v>
      </c>
      <c r="G153" s="190">
        <f>+'POBLACION DE REFERENCIA'!F153</f>
        <v>57</v>
      </c>
      <c r="H153" s="191">
        <f>+'POBLACION DE REFERENCIA'!G153</f>
        <v>57</v>
      </c>
      <c r="I153" s="191">
        <f>+'POBLACION DE REFERENCIA'!H153</f>
        <v>57</v>
      </c>
      <c r="J153" s="191">
        <f>+'POBLACION DE REFERENCIA'!I153</f>
        <v>57</v>
      </c>
      <c r="K153" s="191">
        <f>+'POBLACION DE REFERENCIA'!J153</f>
        <v>57</v>
      </c>
      <c r="L153" s="191">
        <f>+'POBLACION DE REFERENCIA'!K153</f>
        <v>57</v>
      </c>
      <c r="M153" s="191">
        <f>+'POBLACION DE REFERENCIA'!L153</f>
        <v>57</v>
      </c>
      <c r="N153" s="191">
        <f>+'POBLACION DE REFERENCIA'!M153</f>
        <v>57</v>
      </c>
      <c r="O153" s="191">
        <f>+'POBLACION DE REFERENCIA'!N153</f>
        <v>57</v>
      </c>
      <c r="P153" s="191">
        <f>+'POBLACION DE REFERENCIA'!O153</f>
        <v>57</v>
      </c>
    </row>
    <row r="154" spans="2:18" x14ac:dyDescent="0.25">
      <c r="B154" s="256"/>
      <c r="C154" s="257"/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65"/>
    </row>
    <row r="155" spans="2:18" x14ac:dyDescent="0.25">
      <c r="B155" s="112"/>
      <c r="C155" s="239" t="s">
        <v>24</v>
      </c>
      <c r="D155" s="249" t="s">
        <v>143</v>
      </c>
      <c r="E155" s="250"/>
      <c r="F155" s="251"/>
      <c r="G155" s="255" t="s">
        <v>39</v>
      </c>
      <c r="H155" s="255"/>
      <c r="I155" s="255"/>
      <c r="J155" s="255"/>
      <c r="K155" s="255"/>
      <c r="L155" s="255"/>
      <c r="M155" s="255"/>
      <c r="N155" s="255"/>
      <c r="O155" s="255"/>
      <c r="P155" s="255"/>
      <c r="Q155" s="112"/>
      <c r="R155" s="112"/>
    </row>
    <row r="156" spans="2:18" x14ac:dyDescent="0.25">
      <c r="B156" s="112"/>
      <c r="C156" s="239"/>
      <c r="D156" s="259">
        <v>0</v>
      </c>
      <c r="E156" s="260"/>
      <c r="F156" s="261"/>
      <c r="G156" s="24">
        <v>1</v>
      </c>
      <c r="H156" s="24">
        <v>2</v>
      </c>
      <c r="I156" s="24">
        <v>3</v>
      </c>
      <c r="J156" s="24">
        <v>4</v>
      </c>
      <c r="K156" s="24">
        <v>5</v>
      </c>
      <c r="L156" s="24">
        <v>6</v>
      </c>
      <c r="M156" s="24">
        <v>7</v>
      </c>
      <c r="N156" s="24">
        <v>8</v>
      </c>
      <c r="O156" s="24">
        <v>9</v>
      </c>
      <c r="P156" s="24">
        <v>10</v>
      </c>
      <c r="Q156" s="112"/>
      <c r="R156" s="112"/>
    </row>
    <row r="157" spans="2:18" x14ac:dyDescent="0.25">
      <c r="B157" s="112"/>
      <c r="C157" s="239"/>
      <c r="D157" s="20">
        <v>2024</v>
      </c>
      <c r="E157" s="20">
        <v>2025</v>
      </c>
      <c r="F157" s="20">
        <v>2026</v>
      </c>
      <c r="G157" s="20">
        <v>2027</v>
      </c>
      <c r="H157" s="20">
        <v>2028</v>
      </c>
      <c r="I157" s="20">
        <v>2029</v>
      </c>
      <c r="J157" s="20">
        <v>2030</v>
      </c>
      <c r="K157" s="20">
        <v>2031</v>
      </c>
      <c r="L157" s="20">
        <v>2032</v>
      </c>
      <c r="M157" s="20">
        <v>2033</v>
      </c>
      <c r="N157" s="20">
        <v>2034</v>
      </c>
      <c r="O157" s="20">
        <v>2035</v>
      </c>
      <c r="P157" s="20">
        <v>2036</v>
      </c>
      <c r="Q157" s="112"/>
      <c r="R157" s="112"/>
    </row>
    <row r="158" spans="2:18" x14ac:dyDescent="0.25">
      <c r="B158" s="112"/>
      <c r="C158" s="115" t="s">
        <v>213</v>
      </c>
      <c r="D158" s="97">
        <f>SUM(D159:D159)</f>
        <v>18</v>
      </c>
      <c r="E158" s="97">
        <f t="shared" ref="E158:P158" si="22">SUM(E159:E159)</f>
        <v>18</v>
      </c>
      <c r="F158" s="97">
        <f t="shared" si="22"/>
        <v>18</v>
      </c>
      <c r="G158" s="106">
        <f t="shared" si="22"/>
        <v>18</v>
      </c>
      <c r="H158" s="106">
        <f t="shared" si="22"/>
        <v>18</v>
      </c>
      <c r="I158" s="106">
        <f t="shared" si="22"/>
        <v>18</v>
      </c>
      <c r="J158" s="106">
        <f t="shared" si="22"/>
        <v>18</v>
      </c>
      <c r="K158" s="106">
        <f t="shared" si="22"/>
        <v>18</v>
      </c>
      <c r="L158" s="106">
        <f t="shared" si="22"/>
        <v>18</v>
      </c>
      <c r="M158" s="106">
        <f t="shared" si="22"/>
        <v>18</v>
      </c>
      <c r="N158" s="106">
        <f t="shared" si="22"/>
        <v>18</v>
      </c>
      <c r="O158" s="106">
        <f t="shared" si="22"/>
        <v>18</v>
      </c>
      <c r="P158" s="106">
        <f t="shared" si="22"/>
        <v>18</v>
      </c>
      <c r="Q158" s="112"/>
      <c r="R158" s="112"/>
    </row>
    <row r="159" spans="2:18" x14ac:dyDescent="0.25">
      <c r="B159" s="112"/>
      <c r="C159" s="105" t="s">
        <v>33</v>
      </c>
      <c r="D159" s="96">
        <f>+'POBLACION DE REFERENCIA'!C159</f>
        <v>18</v>
      </c>
      <c r="E159" s="96">
        <f>+'POBLACION DE REFERENCIA'!D159</f>
        <v>18</v>
      </c>
      <c r="F159" s="118">
        <f>+'POBLACION DE REFERENCIA'!E159</f>
        <v>18</v>
      </c>
      <c r="G159" s="118">
        <f>+'POBLACION DE REFERENCIA'!F159</f>
        <v>18</v>
      </c>
      <c r="H159" s="142">
        <f>+'POBLACION DE REFERENCIA'!G159</f>
        <v>18</v>
      </c>
      <c r="I159" s="142">
        <f>+'POBLACION DE REFERENCIA'!H159</f>
        <v>18</v>
      </c>
      <c r="J159" s="142">
        <f>+'POBLACION DE REFERENCIA'!I159</f>
        <v>18</v>
      </c>
      <c r="K159" s="142">
        <f>+'POBLACION DE REFERENCIA'!J159</f>
        <v>18</v>
      </c>
      <c r="L159" s="142">
        <f>+'POBLACION DE REFERENCIA'!K159</f>
        <v>18</v>
      </c>
      <c r="M159" s="142">
        <f>+'POBLACION DE REFERENCIA'!L159</f>
        <v>18</v>
      </c>
      <c r="N159" s="142">
        <f>+'POBLACION DE REFERENCIA'!M159</f>
        <v>18</v>
      </c>
      <c r="O159" s="142">
        <f>+'POBLACION DE REFERENCIA'!N159</f>
        <v>18</v>
      </c>
      <c r="P159" s="142">
        <f>+'POBLACION DE REFERENCIA'!O159</f>
        <v>18</v>
      </c>
      <c r="Q159" s="112"/>
      <c r="R159" s="112"/>
    </row>
    <row r="160" spans="2:18" x14ac:dyDescent="0.25">
      <c r="B160" s="256"/>
      <c r="C160" s="257"/>
      <c r="D160" s="258"/>
      <c r="E160" s="258"/>
      <c r="F160" s="25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65"/>
    </row>
    <row r="161" spans="2:16" x14ac:dyDescent="0.25">
      <c r="C161" s="252" t="s">
        <v>222</v>
      </c>
      <c r="D161" s="249" t="s">
        <v>143</v>
      </c>
      <c r="E161" s="250"/>
      <c r="F161" s="251"/>
      <c r="G161" s="255" t="s">
        <v>39</v>
      </c>
      <c r="H161" s="255"/>
      <c r="I161" s="255"/>
      <c r="J161" s="255"/>
      <c r="K161" s="255"/>
      <c r="L161" s="255"/>
      <c r="M161" s="255"/>
      <c r="N161" s="255"/>
      <c r="O161" s="255"/>
      <c r="P161" s="255"/>
    </row>
    <row r="162" spans="2:16" x14ac:dyDescent="0.25">
      <c r="C162" s="253"/>
      <c r="D162" s="239">
        <v>0</v>
      </c>
      <c r="E162" s="239"/>
      <c r="F162" s="239"/>
      <c r="G162" s="24">
        <v>1</v>
      </c>
      <c r="H162" s="25">
        <v>2</v>
      </c>
      <c r="I162" s="25">
        <v>3</v>
      </c>
      <c r="J162" s="25">
        <v>4</v>
      </c>
      <c r="K162" s="25">
        <v>5</v>
      </c>
      <c r="L162" s="25">
        <v>6</v>
      </c>
      <c r="M162" s="25">
        <v>7</v>
      </c>
      <c r="N162" s="25">
        <v>8</v>
      </c>
      <c r="O162" s="25">
        <v>9</v>
      </c>
      <c r="P162" s="24">
        <v>10</v>
      </c>
    </row>
    <row r="163" spans="2:16" x14ac:dyDescent="0.25">
      <c r="C163" s="254"/>
      <c r="D163" s="95">
        <v>2024</v>
      </c>
      <c r="E163" s="95">
        <v>2025</v>
      </c>
      <c r="F163" s="95">
        <v>2026</v>
      </c>
      <c r="G163" s="95">
        <v>2027</v>
      </c>
      <c r="H163" s="95">
        <v>2028</v>
      </c>
      <c r="I163" s="95">
        <v>2029</v>
      </c>
      <c r="J163" s="95">
        <v>2030</v>
      </c>
      <c r="K163" s="95">
        <v>2031</v>
      </c>
      <c r="L163" s="95">
        <v>2032</v>
      </c>
      <c r="M163" s="95">
        <v>2033</v>
      </c>
      <c r="N163" s="95">
        <v>2034</v>
      </c>
      <c r="O163" s="95">
        <v>2035</v>
      </c>
      <c r="P163" s="95">
        <v>2036</v>
      </c>
    </row>
    <row r="164" spans="2:16" x14ac:dyDescent="0.25">
      <c r="C164" s="28" t="s">
        <v>391</v>
      </c>
      <c r="D164" s="98">
        <f>+D165</f>
        <v>224.16</v>
      </c>
      <c r="E164" s="98">
        <f t="shared" ref="E164:P164" si="23">+E165</f>
        <v>224</v>
      </c>
      <c r="F164" s="98">
        <f t="shared" si="23"/>
        <v>224</v>
      </c>
      <c r="G164" s="106">
        <f t="shared" si="23"/>
        <v>224</v>
      </c>
      <c r="H164" s="106">
        <f t="shared" si="23"/>
        <v>224</v>
      </c>
      <c r="I164" s="106">
        <f t="shared" si="23"/>
        <v>224</v>
      </c>
      <c r="J164" s="106">
        <f t="shared" si="23"/>
        <v>225</v>
      </c>
      <c r="K164" s="106">
        <f t="shared" si="23"/>
        <v>225</v>
      </c>
      <c r="L164" s="106">
        <f t="shared" si="23"/>
        <v>225</v>
      </c>
      <c r="M164" s="106">
        <f t="shared" si="23"/>
        <v>225</v>
      </c>
      <c r="N164" s="106">
        <f t="shared" si="23"/>
        <v>225</v>
      </c>
      <c r="O164" s="106">
        <f t="shared" si="23"/>
        <v>225</v>
      </c>
      <c r="P164" s="106">
        <f t="shared" si="23"/>
        <v>225</v>
      </c>
    </row>
    <row r="165" spans="2:16" x14ac:dyDescent="0.25">
      <c r="C165" s="195" t="s">
        <v>393</v>
      </c>
      <c r="D165" s="94">
        <f>+'POBLACION DE REFERENCIA'!C165*48%</f>
        <v>224.16</v>
      </c>
      <c r="E165" s="94">
        <f>ROUND(($D$165*(1+$A$73)^(E163-$D$163)),0)</f>
        <v>224</v>
      </c>
      <c r="F165" s="128">
        <f>ROUND(($D$165*(1+$A$73)^(F163-$D$163)),0)</f>
        <v>224</v>
      </c>
      <c r="G165" s="128">
        <f>ROUND(($D$165*(1+$A$73)^(G163-$D$163)),0)</f>
        <v>224</v>
      </c>
      <c r="H165" s="197">
        <f>ROUND(($D$165*(1+$A$73)^(H163-$D$163)),0)</f>
        <v>224</v>
      </c>
      <c r="I165" s="197">
        <f t="shared" ref="I165:P165" si="24">ROUND(($D$165*(1+$A$73)^(I163-$D$163)),0)</f>
        <v>224</v>
      </c>
      <c r="J165" s="197">
        <f t="shared" si="24"/>
        <v>225</v>
      </c>
      <c r="K165" s="197">
        <f t="shared" si="24"/>
        <v>225</v>
      </c>
      <c r="L165" s="197">
        <f t="shared" si="24"/>
        <v>225</v>
      </c>
      <c r="M165" s="197">
        <f t="shared" si="24"/>
        <v>225</v>
      </c>
      <c r="N165" s="197">
        <f t="shared" si="24"/>
        <v>225</v>
      </c>
      <c r="O165" s="197">
        <f t="shared" si="24"/>
        <v>225</v>
      </c>
      <c r="P165" s="197">
        <f t="shared" si="24"/>
        <v>225</v>
      </c>
    </row>
    <row r="166" spans="2:16" x14ac:dyDescent="0.25">
      <c r="B166" s="256"/>
      <c r="C166" s="257"/>
      <c r="D166" s="258"/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</row>
    <row r="167" spans="2:16" x14ac:dyDescent="0.25">
      <c r="C167" s="252" t="s">
        <v>222</v>
      </c>
      <c r="D167" s="249" t="s">
        <v>143</v>
      </c>
      <c r="E167" s="250"/>
      <c r="F167" s="251"/>
      <c r="G167" s="255" t="s">
        <v>39</v>
      </c>
      <c r="H167" s="255"/>
      <c r="I167" s="255"/>
      <c r="J167" s="255"/>
      <c r="K167" s="255"/>
      <c r="L167" s="255"/>
      <c r="M167" s="255"/>
      <c r="N167" s="255"/>
      <c r="O167" s="255"/>
      <c r="P167" s="255"/>
    </row>
    <row r="168" spans="2:16" x14ac:dyDescent="0.25">
      <c r="C168" s="253"/>
      <c r="D168" s="239">
        <v>0</v>
      </c>
      <c r="E168" s="239"/>
      <c r="F168" s="239"/>
      <c r="G168" s="24">
        <v>1</v>
      </c>
      <c r="H168" s="25">
        <v>2</v>
      </c>
      <c r="I168" s="25">
        <v>3</v>
      </c>
      <c r="J168" s="25">
        <v>4</v>
      </c>
      <c r="K168" s="25">
        <v>5</v>
      </c>
      <c r="L168" s="25">
        <v>6</v>
      </c>
      <c r="M168" s="25">
        <v>7</v>
      </c>
      <c r="N168" s="25">
        <v>8</v>
      </c>
      <c r="O168" s="25">
        <v>9</v>
      </c>
      <c r="P168" s="24">
        <v>10</v>
      </c>
    </row>
    <row r="169" spans="2:16" x14ac:dyDescent="0.25">
      <c r="C169" s="254"/>
      <c r="D169" s="95">
        <v>2024</v>
      </c>
      <c r="E169" s="95">
        <v>2025</v>
      </c>
      <c r="F169" s="95">
        <v>2026</v>
      </c>
      <c r="G169" s="95">
        <v>2027</v>
      </c>
      <c r="H169" s="95">
        <v>2028</v>
      </c>
      <c r="I169" s="95">
        <v>2029</v>
      </c>
      <c r="J169" s="95">
        <v>2030</v>
      </c>
      <c r="K169" s="95">
        <v>2031</v>
      </c>
      <c r="L169" s="95">
        <v>2032</v>
      </c>
      <c r="M169" s="95">
        <v>2033</v>
      </c>
      <c r="N169" s="95">
        <v>2034</v>
      </c>
      <c r="O169" s="95">
        <v>2035</v>
      </c>
      <c r="P169" s="95">
        <v>2036</v>
      </c>
    </row>
    <row r="170" spans="2:16" x14ac:dyDescent="0.25">
      <c r="C170" s="28" t="s">
        <v>349</v>
      </c>
      <c r="D170" s="98">
        <f>+D171</f>
        <v>482</v>
      </c>
      <c r="E170" s="98">
        <f t="shared" ref="E170:P170" si="25">+E171</f>
        <v>482</v>
      </c>
      <c r="F170" s="98">
        <f t="shared" si="25"/>
        <v>482</v>
      </c>
      <c r="G170" s="106">
        <f t="shared" si="25"/>
        <v>482</v>
      </c>
      <c r="H170" s="106">
        <f t="shared" si="25"/>
        <v>483</v>
      </c>
      <c r="I170" s="106">
        <f t="shared" si="25"/>
        <v>483</v>
      </c>
      <c r="J170" s="106">
        <f t="shared" si="25"/>
        <v>483</v>
      </c>
      <c r="K170" s="106">
        <f t="shared" si="25"/>
        <v>483</v>
      </c>
      <c r="L170" s="106">
        <f t="shared" si="25"/>
        <v>483</v>
      </c>
      <c r="M170" s="106">
        <f t="shared" si="25"/>
        <v>483</v>
      </c>
      <c r="N170" s="106">
        <f t="shared" si="25"/>
        <v>483</v>
      </c>
      <c r="O170" s="106">
        <f t="shared" si="25"/>
        <v>484</v>
      </c>
      <c r="P170" s="106">
        <f t="shared" si="25"/>
        <v>484</v>
      </c>
    </row>
    <row r="171" spans="2:16" x14ac:dyDescent="0.25">
      <c r="C171" s="195" t="s">
        <v>397</v>
      </c>
      <c r="D171" s="94">
        <f>+'POBLACION DE REFERENCIA'!C171</f>
        <v>482</v>
      </c>
      <c r="E171" s="94">
        <f>+'POBLACION DE REFERENCIA'!D171</f>
        <v>482</v>
      </c>
      <c r="F171" s="128">
        <f>+'POBLACION DE REFERENCIA'!E171</f>
        <v>482</v>
      </c>
      <c r="G171" s="128">
        <f>+'POBLACION DE REFERENCIA'!F171</f>
        <v>482</v>
      </c>
      <c r="H171" s="197">
        <f>+'POBLACION DE REFERENCIA'!G171</f>
        <v>483</v>
      </c>
      <c r="I171" s="197">
        <f>+'POBLACION DE REFERENCIA'!H171</f>
        <v>483</v>
      </c>
      <c r="J171" s="197">
        <f>+'POBLACION DE REFERENCIA'!I171</f>
        <v>483</v>
      </c>
      <c r="K171" s="197">
        <f>+'POBLACION DE REFERENCIA'!J171</f>
        <v>483</v>
      </c>
      <c r="L171" s="197">
        <f>+'POBLACION DE REFERENCIA'!K171</f>
        <v>483</v>
      </c>
      <c r="M171" s="197">
        <f>+'POBLACION DE REFERENCIA'!L171</f>
        <v>483</v>
      </c>
      <c r="N171" s="197">
        <f>+'POBLACION DE REFERENCIA'!M171</f>
        <v>483</v>
      </c>
      <c r="O171" s="197">
        <f>+'POBLACION DE REFERENCIA'!N171</f>
        <v>484</v>
      </c>
      <c r="P171" s="197">
        <f>+'POBLACION DE REFERENCIA'!O171</f>
        <v>484</v>
      </c>
    </row>
    <row r="172" spans="2:16" x14ac:dyDescent="0.25">
      <c r="B172" s="256"/>
      <c r="C172" s="257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</row>
    <row r="173" spans="2:16" x14ac:dyDescent="0.25">
      <c r="C173" s="252" t="s">
        <v>222</v>
      </c>
      <c r="D173" s="249" t="s">
        <v>143</v>
      </c>
      <c r="E173" s="250"/>
      <c r="F173" s="251"/>
      <c r="G173" s="255" t="s">
        <v>39</v>
      </c>
      <c r="H173" s="255"/>
      <c r="I173" s="255"/>
      <c r="J173" s="255"/>
      <c r="K173" s="255"/>
      <c r="L173" s="255"/>
      <c r="M173" s="255"/>
      <c r="N173" s="255"/>
      <c r="O173" s="255"/>
      <c r="P173" s="255"/>
    </row>
    <row r="174" spans="2:16" x14ac:dyDescent="0.25">
      <c r="C174" s="253"/>
      <c r="D174" s="239">
        <v>0</v>
      </c>
      <c r="E174" s="239"/>
      <c r="F174" s="239"/>
      <c r="G174" s="24">
        <v>1</v>
      </c>
      <c r="H174" s="25">
        <v>2</v>
      </c>
      <c r="I174" s="25">
        <v>3</v>
      </c>
      <c r="J174" s="25">
        <v>4</v>
      </c>
      <c r="K174" s="25">
        <v>5</v>
      </c>
      <c r="L174" s="25">
        <v>6</v>
      </c>
      <c r="M174" s="25">
        <v>7</v>
      </c>
      <c r="N174" s="25">
        <v>8</v>
      </c>
      <c r="O174" s="25">
        <v>9</v>
      </c>
      <c r="P174" s="24">
        <v>10</v>
      </c>
    </row>
    <row r="175" spans="2:16" x14ac:dyDescent="0.25">
      <c r="C175" s="254"/>
      <c r="D175" s="95">
        <v>2024</v>
      </c>
      <c r="E175" s="95">
        <v>2025</v>
      </c>
      <c r="F175" s="95">
        <v>2026</v>
      </c>
      <c r="G175" s="95">
        <v>2027</v>
      </c>
      <c r="H175" s="95">
        <v>2028</v>
      </c>
      <c r="I175" s="95">
        <v>2029</v>
      </c>
      <c r="J175" s="95">
        <v>2030</v>
      </c>
      <c r="K175" s="95">
        <v>2031</v>
      </c>
      <c r="L175" s="95">
        <v>2032</v>
      </c>
      <c r="M175" s="95">
        <v>2033</v>
      </c>
      <c r="N175" s="95">
        <v>2034</v>
      </c>
      <c r="O175" s="95">
        <v>2035</v>
      </c>
      <c r="P175" s="95">
        <v>2036</v>
      </c>
    </row>
    <row r="176" spans="2:16" x14ac:dyDescent="0.25">
      <c r="C176" s="28" t="s">
        <v>350</v>
      </c>
      <c r="D176" s="98">
        <f>+D177</f>
        <v>243.35999999999999</v>
      </c>
      <c r="E176" s="98">
        <f t="shared" ref="E176:P176" si="26">+E177</f>
        <v>243</v>
      </c>
      <c r="F176" s="98">
        <f t="shared" si="26"/>
        <v>244</v>
      </c>
      <c r="G176" s="106">
        <f t="shared" si="26"/>
        <v>244</v>
      </c>
      <c r="H176" s="106">
        <f t="shared" si="26"/>
        <v>244</v>
      </c>
      <c r="I176" s="106">
        <f t="shared" si="26"/>
        <v>244</v>
      </c>
      <c r="J176" s="106">
        <f t="shared" si="26"/>
        <v>244</v>
      </c>
      <c r="K176" s="106">
        <f t="shared" si="26"/>
        <v>244</v>
      </c>
      <c r="L176" s="106">
        <f t="shared" si="26"/>
        <v>244</v>
      </c>
      <c r="M176" s="106">
        <f t="shared" si="26"/>
        <v>244</v>
      </c>
      <c r="N176" s="106">
        <f t="shared" si="26"/>
        <v>244</v>
      </c>
      <c r="O176" s="106">
        <f t="shared" si="26"/>
        <v>244</v>
      </c>
      <c r="P176" s="106">
        <f t="shared" si="26"/>
        <v>244</v>
      </c>
    </row>
    <row r="177" spans="2:16" x14ac:dyDescent="0.25">
      <c r="C177" s="195" t="s">
        <v>392</v>
      </c>
      <c r="D177" s="94">
        <f>+'POBLACION DE REFERENCIA'!C177*48%</f>
        <v>243.35999999999999</v>
      </c>
      <c r="E177" s="94">
        <f>ROUND(($D$177*(1+$A$73)^(E175-$D$175)),0)</f>
        <v>243</v>
      </c>
      <c r="F177" s="128">
        <f>ROUND(($D$177*(1+$A$73)^(F175-$D$175)),0)</f>
        <v>244</v>
      </c>
      <c r="G177" s="128">
        <f>ROUND(($D$177*(1+$A$73)^(G175-$D$175)),0)</f>
        <v>244</v>
      </c>
      <c r="H177" s="197">
        <f>ROUND(($D$177*(1+$A$73)^(H175-$D$175)),0)</f>
        <v>244</v>
      </c>
      <c r="I177" s="197">
        <f t="shared" ref="I177:P177" si="27">ROUND(($D$177*(1+$A$73)^(I175-$D$175)),0)</f>
        <v>244</v>
      </c>
      <c r="J177" s="197">
        <f t="shared" si="27"/>
        <v>244</v>
      </c>
      <c r="K177" s="197">
        <f t="shared" si="27"/>
        <v>244</v>
      </c>
      <c r="L177" s="197">
        <f t="shared" si="27"/>
        <v>244</v>
      </c>
      <c r="M177" s="197">
        <f t="shared" si="27"/>
        <v>244</v>
      </c>
      <c r="N177" s="197">
        <f t="shared" si="27"/>
        <v>244</v>
      </c>
      <c r="O177" s="197">
        <f t="shared" si="27"/>
        <v>244</v>
      </c>
      <c r="P177" s="197">
        <f t="shared" si="27"/>
        <v>244</v>
      </c>
    </row>
    <row r="178" spans="2:16" x14ac:dyDescent="0.25">
      <c r="B178" s="256"/>
      <c r="C178" s="257"/>
      <c r="D178" s="258"/>
      <c r="E178" s="258"/>
      <c r="F178" s="25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</row>
    <row r="179" spans="2:16" x14ac:dyDescent="0.25">
      <c r="C179" s="252" t="s">
        <v>222</v>
      </c>
      <c r="D179" s="249" t="s">
        <v>143</v>
      </c>
      <c r="E179" s="250"/>
      <c r="F179" s="251"/>
      <c r="G179" s="255" t="s">
        <v>39</v>
      </c>
      <c r="H179" s="255"/>
      <c r="I179" s="255"/>
      <c r="J179" s="255"/>
      <c r="K179" s="255"/>
      <c r="L179" s="255"/>
      <c r="M179" s="255"/>
      <c r="N179" s="255"/>
      <c r="O179" s="255"/>
      <c r="P179" s="255"/>
    </row>
    <row r="180" spans="2:16" x14ac:dyDescent="0.25">
      <c r="C180" s="253"/>
      <c r="D180" s="239">
        <v>0</v>
      </c>
      <c r="E180" s="239"/>
      <c r="F180" s="239"/>
      <c r="G180" s="24">
        <v>1</v>
      </c>
      <c r="H180" s="25">
        <v>2</v>
      </c>
      <c r="I180" s="25">
        <v>3</v>
      </c>
      <c r="J180" s="25">
        <v>4</v>
      </c>
      <c r="K180" s="25">
        <v>5</v>
      </c>
      <c r="L180" s="25">
        <v>6</v>
      </c>
      <c r="M180" s="25">
        <v>7</v>
      </c>
      <c r="N180" s="25">
        <v>8</v>
      </c>
      <c r="O180" s="25">
        <v>9</v>
      </c>
      <c r="P180" s="24">
        <v>10</v>
      </c>
    </row>
    <row r="181" spans="2:16" x14ac:dyDescent="0.25">
      <c r="C181" s="254"/>
      <c r="D181" s="95">
        <v>2024</v>
      </c>
      <c r="E181" s="95">
        <v>2025</v>
      </c>
      <c r="F181" s="95">
        <v>2026</v>
      </c>
      <c r="G181" s="95">
        <v>2027</v>
      </c>
      <c r="H181" s="95">
        <v>2028</v>
      </c>
      <c r="I181" s="95">
        <v>2029</v>
      </c>
      <c r="J181" s="95">
        <v>2030</v>
      </c>
      <c r="K181" s="95">
        <v>2031</v>
      </c>
      <c r="L181" s="95">
        <v>2032</v>
      </c>
      <c r="M181" s="95">
        <v>2033</v>
      </c>
      <c r="N181" s="95">
        <v>2034</v>
      </c>
      <c r="O181" s="95">
        <v>2035</v>
      </c>
      <c r="P181" s="95">
        <v>2036</v>
      </c>
    </row>
    <row r="182" spans="2:16" x14ac:dyDescent="0.25">
      <c r="C182" s="28" t="s">
        <v>405</v>
      </c>
      <c r="D182" s="98">
        <f>+D183</f>
        <v>243.35999999999999</v>
      </c>
      <c r="E182" s="98">
        <f t="shared" ref="E182:P182" si="28">+E183</f>
        <v>243</v>
      </c>
      <c r="F182" s="98">
        <f t="shared" si="28"/>
        <v>244</v>
      </c>
      <c r="G182" s="106">
        <f t="shared" si="28"/>
        <v>244</v>
      </c>
      <c r="H182" s="106">
        <f t="shared" si="28"/>
        <v>244</v>
      </c>
      <c r="I182" s="106">
        <f t="shared" si="28"/>
        <v>244</v>
      </c>
      <c r="J182" s="106">
        <f t="shared" si="28"/>
        <v>244</v>
      </c>
      <c r="K182" s="106">
        <f t="shared" si="28"/>
        <v>244</v>
      </c>
      <c r="L182" s="106">
        <f t="shared" si="28"/>
        <v>244</v>
      </c>
      <c r="M182" s="106">
        <f t="shared" si="28"/>
        <v>244</v>
      </c>
      <c r="N182" s="106">
        <f t="shared" si="28"/>
        <v>244</v>
      </c>
      <c r="O182" s="106">
        <f t="shared" si="28"/>
        <v>244</v>
      </c>
      <c r="P182" s="106">
        <f t="shared" si="28"/>
        <v>244</v>
      </c>
    </row>
    <row r="183" spans="2:16" x14ac:dyDescent="0.25">
      <c r="C183" s="195" t="s">
        <v>392</v>
      </c>
      <c r="D183" s="94">
        <f>+'POBLACION DE REFERENCIA'!C183*48%</f>
        <v>243.35999999999999</v>
      </c>
      <c r="E183" s="94">
        <f t="shared" ref="E183:K183" si="29">ROUND(($D$183*(1+$A$73)^(E181-$D$181)),0)</f>
        <v>243</v>
      </c>
      <c r="F183" s="128">
        <f t="shared" si="29"/>
        <v>244</v>
      </c>
      <c r="G183" s="128">
        <f t="shared" si="29"/>
        <v>244</v>
      </c>
      <c r="H183" s="197">
        <f t="shared" si="29"/>
        <v>244</v>
      </c>
      <c r="I183" s="197">
        <f t="shared" si="29"/>
        <v>244</v>
      </c>
      <c r="J183" s="197">
        <f t="shared" si="29"/>
        <v>244</v>
      </c>
      <c r="K183" s="197">
        <f t="shared" si="29"/>
        <v>244</v>
      </c>
      <c r="L183" s="197">
        <f t="shared" ref="L183:P183" si="30">ROUND(($D$183*(1+$A$73)^(L181-$D$181)),0)</f>
        <v>244</v>
      </c>
      <c r="M183" s="197">
        <f t="shared" si="30"/>
        <v>244</v>
      </c>
      <c r="N183" s="197">
        <f t="shared" si="30"/>
        <v>244</v>
      </c>
      <c r="O183" s="197">
        <f t="shared" si="30"/>
        <v>244</v>
      </c>
      <c r="P183" s="197">
        <f t="shared" si="30"/>
        <v>244</v>
      </c>
    </row>
    <row r="184" spans="2:16" x14ac:dyDescent="0.25">
      <c r="B184" s="256"/>
      <c r="C184" s="257"/>
      <c r="D184" s="258"/>
      <c r="E184" s="258"/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</row>
    <row r="185" spans="2:16" x14ac:dyDescent="0.25">
      <c r="C185" s="252" t="s">
        <v>222</v>
      </c>
      <c r="D185" s="249" t="s">
        <v>143</v>
      </c>
      <c r="E185" s="250"/>
      <c r="F185" s="251"/>
      <c r="G185" s="255" t="s">
        <v>39</v>
      </c>
      <c r="H185" s="255"/>
      <c r="I185" s="255"/>
      <c r="J185" s="255"/>
      <c r="K185" s="255"/>
      <c r="L185" s="255"/>
      <c r="M185" s="255"/>
      <c r="N185" s="255"/>
      <c r="O185" s="255"/>
      <c r="P185" s="255"/>
    </row>
    <row r="186" spans="2:16" x14ac:dyDescent="0.25">
      <c r="C186" s="253"/>
      <c r="D186" s="239">
        <v>0</v>
      </c>
      <c r="E186" s="239"/>
      <c r="F186" s="239"/>
      <c r="G186" s="24">
        <v>1</v>
      </c>
      <c r="H186" s="25">
        <v>2</v>
      </c>
      <c r="I186" s="25">
        <v>3</v>
      </c>
      <c r="J186" s="25">
        <v>4</v>
      </c>
      <c r="K186" s="25">
        <v>5</v>
      </c>
      <c r="L186" s="25">
        <v>6</v>
      </c>
      <c r="M186" s="25">
        <v>7</v>
      </c>
      <c r="N186" s="25">
        <v>8</v>
      </c>
      <c r="O186" s="25">
        <v>9</v>
      </c>
      <c r="P186" s="24">
        <v>10</v>
      </c>
    </row>
    <row r="187" spans="2:16" x14ac:dyDescent="0.25">
      <c r="C187" s="254"/>
      <c r="D187" s="95">
        <v>2024</v>
      </c>
      <c r="E187" s="95">
        <v>2025</v>
      </c>
      <c r="F187" s="95">
        <v>2026</v>
      </c>
      <c r="G187" s="95">
        <v>2027</v>
      </c>
      <c r="H187" s="95">
        <v>2028</v>
      </c>
      <c r="I187" s="95">
        <v>2029</v>
      </c>
      <c r="J187" s="95">
        <v>2030</v>
      </c>
      <c r="K187" s="95">
        <v>2031</v>
      </c>
      <c r="L187" s="95">
        <v>2032</v>
      </c>
      <c r="M187" s="95">
        <v>2033</v>
      </c>
      <c r="N187" s="95">
        <v>2034</v>
      </c>
      <c r="O187" s="95">
        <v>2035</v>
      </c>
      <c r="P187" s="95">
        <v>2036</v>
      </c>
    </row>
    <row r="188" spans="2:16" x14ac:dyDescent="0.25">
      <c r="C188" s="28" t="s">
        <v>404</v>
      </c>
      <c r="D188" s="98">
        <f>+D189</f>
        <v>243.35999999999999</v>
      </c>
      <c r="E188" s="98">
        <f t="shared" ref="E188:P188" si="31">+E189</f>
        <v>243</v>
      </c>
      <c r="F188" s="98">
        <f t="shared" si="31"/>
        <v>244</v>
      </c>
      <c r="G188" s="106">
        <f t="shared" si="31"/>
        <v>244</v>
      </c>
      <c r="H188" s="106">
        <f t="shared" si="31"/>
        <v>244</v>
      </c>
      <c r="I188" s="106">
        <f t="shared" si="31"/>
        <v>244</v>
      </c>
      <c r="J188" s="106">
        <f t="shared" si="31"/>
        <v>244</v>
      </c>
      <c r="K188" s="106">
        <f t="shared" si="31"/>
        <v>244</v>
      </c>
      <c r="L188" s="106">
        <f t="shared" si="31"/>
        <v>244</v>
      </c>
      <c r="M188" s="106">
        <f t="shared" si="31"/>
        <v>244</v>
      </c>
      <c r="N188" s="106">
        <f t="shared" si="31"/>
        <v>244</v>
      </c>
      <c r="O188" s="106">
        <f t="shared" si="31"/>
        <v>244</v>
      </c>
      <c r="P188" s="106">
        <f t="shared" si="31"/>
        <v>244</v>
      </c>
    </row>
    <row r="189" spans="2:16" x14ac:dyDescent="0.25">
      <c r="C189" s="195" t="s">
        <v>392</v>
      </c>
      <c r="D189" s="94">
        <f>+'POBLACION DE REFERENCIA'!C189*48%</f>
        <v>243.35999999999999</v>
      </c>
      <c r="E189" s="94">
        <f>ROUND(($D$189*(1+$A$73)^(E187-$D$187)),0)</f>
        <v>243</v>
      </c>
      <c r="F189" s="128">
        <f>ROUND(($D$189*(1+$A$73)^(F187-$D$187)),0)</f>
        <v>244</v>
      </c>
      <c r="G189" s="128">
        <f>ROUND(($D$189*(1+$A$73)^(G187-$D$187)),0)</f>
        <v>244</v>
      </c>
      <c r="H189" s="197">
        <f t="shared" ref="H189:P189" si="32">ROUND(($D$189*(1+$A$73)^(H187-$D$187)),0)</f>
        <v>244</v>
      </c>
      <c r="I189" s="197">
        <f t="shared" si="32"/>
        <v>244</v>
      </c>
      <c r="J189" s="197">
        <f t="shared" si="32"/>
        <v>244</v>
      </c>
      <c r="K189" s="197">
        <f t="shared" si="32"/>
        <v>244</v>
      </c>
      <c r="L189" s="197">
        <f t="shared" si="32"/>
        <v>244</v>
      </c>
      <c r="M189" s="197">
        <f t="shared" si="32"/>
        <v>244</v>
      </c>
      <c r="N189" s="197">
        <f t="shared" si="32"/>
        <v>244</v>
      </c>
      <c r="O189" s="197">
        <f t="shared" si="32"/>
        <v>244</v>
      </c>
      <c r="P189" s="197">
        <f t="shared" si="32"/>
        <v>244</v>
      </c>
    </row>
    <row r="190" spans="2:16" x14ac:dyDescent="0.25">
      <c r="B190" s="256"/>
      <c r="C190" s="257"/>
      <c r="D190" s="258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</row>
    <row r="191" spans="2:16" x14ac:dyDescent="0.25">
      <c r="C191" s="252" t="s">
        <v>222</v>
      </c>
      <c r="D191" s="249" t="s">
        <v>143</v>
      </c>
      <c r="E191" s="250"/>
      <c r="F191" s="251"/>
      <c r="G191" s="255" t="s">
        <v>39</v>
      </c>
      <c r="H191" s="255"/>
      <c r="I191" s="255"/>
      <c r="J191" s="255"/>
      <c r="K191" s="255"/>
      <c r="L191" s="255"/>
      <c r="M191" s="255"/>
      <c r="N191" s="255"/>
      <c r="O191" s="255"/>
      <c r="P191" s="255"/>
    </row>
    <row r="192" spans="2:16" x14ac:dyDescent="0.25">
      <c r="C192" s="253"/>
      <c r="D192" s="239">
        <v>0</v>
      </c>
      <c r="E192" s="239"/>
      <c r="F192" s="239"/>
      <c r="G192" s="24">
        <v>1</v>
      </c>
      <c r="H192" s="25">
        <v>2</v>
      </c>
      <c r="I192" s="25">
        <v>3</v>
      </c>
      <c r="J192" s="25">
        <v>4</v>
      </c>
      <c r="K192" s="25">
        <v>5</v>
      </c>
      <c r="L192" s="25">
        <v>6</v>
      </c>
      <c r="M192" s="25">
        <v>7</v>
      </c>
      <c r="N192" s="25">
        <v>8</v>
      </c>
      <c r="O192" s="25">
        <v>9</v>
      </c>
      <c r="P192" s="24">
        <v>10</v>
      </c>
    </row>
    <row r="193" spans="2:16" x14ac:dyDescent="0.25">
      <c r="C193" s="254"/>
      <c r="D193" s="95">
        <v>2024</v>
      </c>
      <c r="E193" s="95">
        <v>2025</v>
      </c>
      <c r="F193" s="95">
        <v>2026</v>
      </c>
      <c r="G193" s="95">
        <v>2027</v>
      </c>
      <c r="H193" s="95">
        <v>2028</v>
      </c>
      <c r="I193" s="95">
        <v>2029</v>
      </c>
      <c r="J193" s="95">
        <v>2030</v>
      </c>
      <c r="K193" s="95">
        <v>2031</v>
      </c>
      <c r="L193" s="95">
        <v>2032</v>
      </c>
      <c r="M193" s="95">
        <v>2033</v>
      </c>
      <c r="N193" s="95">
        <v>2034</v>
      </c>
      <c r="O193" s="95">
        <v>2035</v>
      </c>
      <c r="P193" s="95">
        <v>2036</v>
      </c>
    </row>
    <row r="194" spans="2:16" x14ac:dyDescent="0.25">
      <c r="C194" s="28" t="s">
        <v>403</v>
      </c>
      <c r="D194" s="98">
        <f>+D195</f>
        <v>243.35999999999999</v>
      </c>
      <c r="E194" s="98">
        <f t="shared" ref="E194:P194" si="33">+E195</f>
        <v>243</v>
      </c>
      <c r="F194" s="98">
        <f t="shared" si="33"/>
        <v>244</v>
      </c>
      <c r="G194" s="106">
        <f t="shared" si="33"/>
        <v>244</v>
      </c>
      <c r="H194" s="106">
        <f t="shared" si="33"/>
        <v>244</v>
      </c>
      <c r="I194" s="106">
        <f t="shared" si="33"/>
        <v>244</v>
      </c>
      <c r="J194" s="106">
        <f t="shared" si="33"/>
        <v>244</v>
      </c>
      <c r="K194" s="106">
        <f t="shared" si="33"/>
        <v>244</v>
      </c>
      <c r="L194" s="106">
        <f t="shared" si="33"/>
        <v>244</v>
      </c>
      <c r="M194" s="106">
        <f t="shared" si="33"/>
        <v>244</v>
      </c>
      <c r="N194" s="106">
        <f t="shared" si="33"/>
        <v>244</v>
      </c>
      <c r="O194" s="106">
        <f t="shared" si="33"/>
        <v>244</v>
      </c>
      <c r="P194" s="106">
        <f t="shared" si="33"/>
        <v>244</v>
      </c>
    </row>
    <row r="195" spans="2:16" x14ac:dyDescent="0.25">
      <c r="C195" s="195" t="s">
        <v>392</v>
      </c>
      <c r="D195" s="94">
        <f>+'POBLACION DE REFERENCIA'!C195*48%</f>
        <v>243.35999999999999</v>
      </c>
      <c r="E195" s="94">
        <f>ROUND(($D$195*(1+$A$73)^(E193-$D$193)),0)</f>
        <v>243</v>
      </c>
      <c r="F195" s="128">
        <f t="shared" ref="F195:P195" si="34">ROUND(($D$195*(1+$A$73)^(F193-$D$193)),0)</f>
        <v>244</v>
      </c>
      <c r="G195" s="128">
        <f t="shared" si="34"/>
        <v>244</v>
      </c>
      <c r="H195" s="197">
        <f t="shared" si="34"/>
        <v>244</v>
      </c>
      <c r="I195" s="197">
        <f t="shared" si="34"/>
        <v>244</v>
      </c>
      <c r="J195" s="197">
        <f t="shared" si="34"/>
        <v>244</v>
      </c>
      <c r="K195" s="197">
        <f t="shared" si="34"/>
        <v>244</v>
      </c>
      <c r="L195" s="197">
        <f t="shared" si="34"/>
        <v>244</v>
      </c>
      <c r="M195" s="197">
        <f t="shared" si="34"/>
        <v>244</v>
      </c>
      <c r="N195" s="197">
        <f t="shared" si="34"/>
        <v>244</v>
      </c>
      <c r="O195" s="197">
        <f t="shared" si="34"/>
        <v>244</v>
      </c>
      <c r="P195" s="197">
        <f t="shared" si="34"/>
        <v>244</v>
      </c>
    </row>
    <row r="196" spans="2:16" x14ac:dyDescent="0.25">
      <c r="B196" s="256"/>
      <c r="C196" s="257"/>
      <c r="D196" s="258"/>
      <c r="E196" s="258"/>
      <c r="F196" s="25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</row>
    <row r="197" spans="2:16" x14ac:dyDescent="0.25">
      <c r="C197" s="252" t="s">
        <v>222</v>
      </c>
      <c r="D197" s="249" t="s">
        <v>143</v>
      </c>
      <c r="E197" s="250"/>
      <c r="F197" s="251"/>
      <c r="G197" s="255" t="s">
        <v>39</v>
      </c>
      <c r="H197" s="255"/>
      <c r="I197" s="255"/>
      <c r="J197" s="255"/>
      <c r="K197" s="255"/>
      <c r="L197" s="255"/>
      <c r="M197" s="255"/>
      <c r="N197" s="255"/>
      <c r="O197" s="255"/>
      <c r="P197" s="255"/>
    </row>
    <row r="198" spans="2:16" x14ac:dyDescent="0.25">
      <c r="C198" s="253"/>
      <c r="D198" s="239">
        <v>0</v>
      </c>
      <c r="E198" s="239"/>
      <c r="F198" s="239"/>
      <c r="G198" s="24">
        <v>1</v>
      </c>
      <c r="H198" s="25">
        <v>2</v>
      </c>
      <c r="I198" s="25">
        <v>3</v>
      </c>
      <c r="J198" s="25">
        <v>4</v>
      </c>
      <c r="K198" s="25">
        <v>5</v>
      </c>
      <c r="L198" s="25">
        <v>6</v>
      </c>
      <c r="M198" s="25">
        <v>7</v>
      </c>
      <c r="N198" s="25">
        <v>8</v>
      </c>
      <c r="O198" s="25">
        <v>9</v>
      </c>
      <c r="P198" s="24">
        <v>10</v>
      </c>
    </row>
    <row r="199" spans="2:16" x14ac:dyDescent="0.25">
      <c r="C199" s="254"/>
      <c r="D199" s="95">
        <v>2024</v>
      </c>
      <c r="E199" s="95">
        <v>2025</v>
      </c>
      <c r="F199" s="95">
        <v>2026</v>
      </c>
      <c r="G199" s="95">
        <v>2027</v>
      </c>
      <c r="H199" s="95">
        <v>2028</v>
      </c>
      <c r="I199" s="95">
        <v>2029</v>
      </c>
      <c r="J199" s="95">
        <v>2030</v>
      </c>
      <c r="K199" s="95">
        <v>2031</v>
      </c>
      <c r="L199" s="95">
        <v>2032</v>
      </c>
      <c r="M199" s="95">
        <v>2033</v>
      </c>
      <c r="N199" s="95">
        <v>2034</v>
      </c>
      <c r="O199" s="95">
        <v>2035</v>
      </c>
      <c r="P199" s="95">
        <v>2036</v>
      </c>
    </row>
    <row r="200" spans="2:16" x14ac:dyDescent="0.25">
      <c r="C200" s="28" t="s">
        <v>402</v>
      </c>
      <c r="D200" s="98">
        <f>+D201</f>
        <v>243.35999999999999</v>
      </c>
      <c r="E200" s="98">
        <f t="shared" ref="E200:P200" si="35">+E201</f>
        <v>243</v>
      </c>
      <c r="F200" s="98">
        <f t="shared" si="35"/>
        <v>243</v>
      </c>
      <c r="G200" s="106">
        <f t="shared" si="35"/>
        <v>243</v>
      </c>
      <c r="H200" s="106">
        <f t="shared" si="35"/>
        <v>243</v>
      </c>
      <c r="I200" s="106">
        <f t="shared" si="35"/>
        <v>243</v>
      </c>
      <c r="J200" s="106">
        <f t="shared" si="35"/>
        <v>243</v>
      </c>
      <c r="K200" s="106">
        <f t="shared" si="35"/>
        <v>244</v>
      </c>
      <c r="L200" s="106">
        <f t="shared" si="35"/>
        <v>245</v>
      </c>
      <c r="M200" s="106">
        <f t="shared" si="35"/>
        <v>246</v>
      </c>
      <c r="N200" s="106">
        <f t="shared" si="35"/>
        <v>247</v>
      </c>
      <c r="O200" s="106">
        <f t="shared" si="35"/>
        <v>248</v>
      </c>
      <c r="P200" s="106">
        <f t="shared" si="35"/>
        <v>249</v>
      </c>
    </row>
    <row r="201" spans="2:16" x14ac:dyDescent="0.25">
      <c r="C201" s="195" t="s">
        <v>392</v>
      </c>
      <c r="D201" s="94">
        <f>+'POBLACION DE REFERENCIA'!C201*48%</f>
        <v>243.35999999999999</v>
      </c>
      <c r="E201" s="94">
        <f>ROUND((D201*(1+$A$73)^(E199-$D$199)),0)</f>
        <v>243</v>
      </c>
      <c r="F201" s="128">
        <f t="shared" ref="F201:P201" si="36">ROUND((E201*(1+$A$73)^(F199-$D$199)),0)</f>
        <v>243</v>
      </c>
      <c r="G201" s="128">
        <f t="shared" si="36"/>
        <v>243</v>
      </c>
      <c r="H201" s="197">
        <f t="shared" si="36"/>
        <v>243</v>
      </c>
      <c r="I201" s="197">
        <f t="shared" si="36"/>
        <v>243</v>
      </c>
      <c r="J201" s="197">
        <f t="shared" si="36"/>
        <v>243</v>
      </c>
      <c r="K201" s="197">
        <f t="shared" si="36"/>
        <v>244</v>
      </c>
      <c r="L201" s="197">
        <f t="shared" si="36"/>
        <v>245</v>
      </c>
      <c r="M201" s="197">
        <f t="shared" si="36"/>
        <v>246</v>
      </c>
      <c r="N201" s="197">
        <f t="shared" si="36"/>
        <v>247</v>
      </c>
      <c r="O201" s="197">
        <f t="shared" si="36"/>
        <v>248</v>
      </c>
      <c r="P201" s="197">
        <f t="shared" si="36"/>
        <v>249</v>
      </c>
    </row>
    <row r="202" spans="2:16" x14ac:dyDescent="0.25">
      <c r="B202" s="256"/>
      <c r="C202" s="257"/>
      <c r="D202" s="258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  <c r="P202" s="258"/>
    </row>
    <row r="206" spans="2:16" x14ac:dyDescent="0.25">
      <c r="C206" t="s">
        <v>180</v>
      </c>
    </row>
  </sheetData>
  <mergeCells count="101">
    <mergeCell ref="B202:P202"/>
    <mergeCell ref="B196:P196"/>
    <mergeCell ref="C197:C199"/>
    <mergeCell ref="D197:F197"/>
    <mergeCell ref="G197:P197"/>
    <mergeCell ref="D198:F198"/>
    <mergeCell ref="B190:P190"/>
    <mergeCell ref="C191:C193"/>
    <mergeCell ref="D191:F191"/>
    <mergeCell ref="G191:P191"/>
    <mergeCell ref="D192:F192"/>
    <mergeCell ref="B184:P184"/>
    <mergeCell ref="C185:C187"/>
    <mergeCell ref="D185:F185"/>
    <mergeCell ref="G185:P185"/>
    <mergeCell ref="D186:F186"/>
    <mergeCell ref="G173:P173"/>
    <mergeCell ref="D174:F174"/>
    <mergeCell ref="B178:P178"/>
    <mergeCell ref="C179:C181"/>
    <mergeCell ref="D179:F179"/>
    <mergeCell ref="G179:P179"/>
    <mergeCell ref="D180:F180"/>
    <mergeCell ref="G137:P137"/>
    <mergeCell ref="D138:F138"/>
    <mergeCell ref="B143:Q143"/>
    <mergeCell ref="C161:C163"/>
    <mergeCell ref="D161:F161"/>
    <mergeCell ref="G161:P161"/>
    <mergeCell ref="D162:F162"/>
    <mergeCell ref="B166:P166"/>
    <mergeCell ref="C155:C157"/>
    <mergeCell ref="D155:F155"/>
    <mergeCell ref="G155:P155"/>
    <mergeCell ref="D156:F156"/>
    <mergeCell ref="B160:Q160"/>
    <mergeCell ref="D99:F99"/>
    <mergeCell ref="B108:R108"/>
    <mergeCell ref="C109:C111"/>
    <mergeCell ref="G109:P109"/>
    <mergeCell ref="D110:F110"/>
    <mergeCell ref="C73:P73"/>
    <mergeCell ref="B74:Q74"/>
    <mergeCell ref="C75:C77"/>
    <mergeCell ref="D75:F75"/>
    <mergeCell ref="G75:P75"/>
    <mergeCell ref="D76:F76"/>
    <mergeCell ref="B85:P85"/>
    <mergeCell ref="C87:C89"/>
    <mergeCell ref="D87:F87"/>
    <mergeCell ref="G87:P87"/>
    <mergeCell ref="D88:F88"/>
    <mergeCell ref="B97:R97"/>
    <mergeCell ref="C98:C100"/>
    <mergeCell ref="D98:F98"/>
    <mergeCell ref="G98:P98"/>
    <mergeCell ref="C52:C54"/>
    <mergeCell ref="D52:F52"/>
    <mergeCell ref="G52:P52"/>
    <mergeCell ref="D53:F53"/>
    <mergeCell ref="C62:C64"/>
    <mergeCell ref="D62:F62"/>
    <mergeCell ref="G62:P62"/>
    <mergeCell ref="D63:F63"/>
    <mergeCell ref="C1:E1"/>
    <mergeCell ref="C28:C30"/>
    <mergeCell ref="D28:F28"/>
    <mergeCell ref="G28:P28"/>
    <mergeCell ref="D29:F29"/>
    <mergeCell ref="C34:C36"/>
    <mergeCell ref="D34:F34"/>
    <mergeCell ref="G34:P34"/>
    <mergeCell ref="D35:F35"/>
    <mergeCell ref="C40:C42"/>
    <mergeCell ref="D40:F40"/>
    <mergeCell ref="G40:P40"/>
    <mergeCell ref="D41:F41"/>
    <mergeCell ref="C167:C169"/>
    <mergeCell ref="D167:F167"/>
    <mergeCell ref="G167:P167"/>
    <mergeCell ref="D168:F168"/>
    <mergeCell ref="B172:P172"/>
    <mergeCell ref="C173:C175"/>
    <mergeCell ref="D173:F173"/>
    <mergeCell ref="D109:F109"/>
    <mergeCell ref="C120:C122"/>
    <mergeCell ref="D120:F120"/>
    <mergeCell ref="G120:P120"/>
    <mergeCell ref="D121:F121"/>
    <mergeCell ref="B130:Q130"/>
    <mergeCell ref="C131:C133"/>
    <mergeCell ref="D131:F131"/>
    <mergeCell ref="G131:P131"/>
    <mergeCell ref="D132:F132"/>
    <mergeCell ref="C144:C146"/>
    <mergeCell ref="D144:F144"/>
    <mergeCell ref="G144:P144"/>
    <mergeCell ref="D145:F145"/>
    <mergeCell ref="B154:Q154"/>
    <mergeCell ref="C137:C139"/>
    <mergeCell ref="D137:F1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R179"/>
  <sheetViews>
    <sheetView topLeftCell="C152" zoomScale="78" zoomScaleNormal="78" workbookViewId="0">
      <selection activeCell="D180" sqref="A180:XFD191"/>
    </sheetView>
  </sheetViews>
  <sheetFormatPr baseColWidth="10" defaultRowHeight="15" x14ac:dyDescent="0.25"/>
  <cols>
    <col min="3" max="3" width="31.5703125" customWidth="1"/>
  </cols>
  <sheetData>
    <row r="3" spans="1:18" ht="39.75" customHeight="1" x14ac:dyDescent="0.25"/>
    <row r="5" spans="1:18" x14ac:dyDescent="0.25">
      <c r="C5" s="252" t="s">
        <v>38</v>
      </c>
      <c r="D5" s="249" t="s">
        <v>143</v>
      </c>
      <c r="E5" s="250"/>
      <c r="F5" s="251"/>
      <c r="G5" s="255" t="s">
        <v>39</v>
      </c>
      <c r="H5" s="255"/>
      <c r="I5" s="255"/>
      <c r="J5" s="255"/>
      <c r="K5" s="255"/>
      <c r="L5" s="255"/>
      <c r="M5" s="255"/>
      <c r="N5" s="255"/>
      <c r="O5" s="255"/>
      <c r="P5" s="255"/>
      <c r="Q5" s="17"/>
      <c r="R5" s="17"/>
    </row>
    <row r="6" spans="1:18" x14ac:dyDescent="0.25">
      <c r="C6" s="253"/>
      <c r="D6" s="239">
        <v>0</v>
      </c>
      <c r="E6" s="239"/>
      <c r="F6" s="239"/>
      <c r="G6" s="24">
        <v>1</v>
      </c>
      <c r="H6" s="25">
        <v>2</v>
      </c>
      <c r="I6" s="25">
        <v>3</v>
      </c>
      <c r="J6" s="25">
        <v>4</v>
      </c>
      <c r="K6" s="25">
        <v>5</v>
      </c>
      <c r="L6" s="25">
        <v>6</v>
      </c>
      <c r="M6" s="25">
        <v>7</v>
      </c>
      <c r="N6" s="25">
        <v>8</v>
      </c>
      <c r="O6" s="25">
        <v>9</v>
      </c>
      <c r="P6" s="24">
        <v>10</v>
      </c>
    </row>
    <row r="7" spans="1:18" x14ac:dyDescent="0.25">
      <c r="A7">
        <f>+Hoja1!D17</f>
        <v>2.9999999999999997E-4</v>
      </c>
      <c r="C7" s="254"/>
      <c r="D7" s="95">
        <v>2024</v>
      </c>
      <c r="E7" s="95">
        <v>2025</v>
      </c>
      <c r="F7" s="95">
        <v>2026</v>
      </c>
      <c r="G7" s="95">
        <v>2027</v>
      </c>
      <c r="H7" s="95">
        <v>2028</v>
      </c>
      <c r="I7" s="95">
        <v>2029</v>
      </c>
      <c r="J7" s="95">
        <v>2030</v>
      </c>
      <c r="K7" s="95">
        <v>2031</v>
      </c>
      <c r="L7" s="95">
        <v>2032</v>
      </c>
      <c r="M7" s="95">
        <v>2033</v>
      </c>
      <c r="N7" s="95">
        <v>2034</v>
      </c>
      <c r="O7" s="95">
        <v>2035</v>
      </c>
      <c r="P7" s="95">
        <v>2036</v>
      </c>
    </row>
    <row r="8" spans="1:18" x14ac:dyDescent="0.25">
      <c r="C8" s="28" t="s">
        <v>347</v>
      </c>
      <c r="D8" s="116">
        <f>+D9</f>
        <v>170.35199999999998</v>
      </c>
      <c r="E8" s="116">
        <f t="shared" ref="E8:P8" si="0">+E9</f>
        <v>170</v>
      </c>
      <c r="F8" s="116">
        <f t="shared" si="0"/>
        <v>170</v>
      </c>
      <c r="G8" s="116">
        <f t="shared" si="0"/>
        <v>171</v>
      </c>
      <c r="H8" s="116">
        <f t="shared" si="0"/>
        <v>171</v>
      </c>
      <c r="I8" s="116">
        <f t="shared" si="0"/>
        <v>171</v>
      </c>
      <c r="J8" s="116">
        <f t="shared" si="0"/>
        <v>171</v>
      </c>
      <c r="K8" s="116">
        <f t="shared" si="0"/>
        <v>171</v>
      </c>
      <c r="L8" s="116">
        <f t="shared" si="0"/>
        <v>171</v>
      </c>
      <c r="M8" s="116">
        <f t="shared" si="0"/>
        <v>171</v>
      </c>
      <c r="N8" s="116">
        <f t="shared" si="0"/>
        <v>171</v>
      </c>
      <c r="O8" s="116">
        <f t="shared" si="0"/>
        <v>171</v>
      </c>
      <c r="P8" s="116">
        <f t="shared" si="0"/>
        <v>171</v>
      </c>
    </row>
    <row r="9" spans="1:18" x14ac:dyDescent="0.25">
      <c r="C9" s="182" t="s">
        <v>431</v>
      </c>
      <c r="D9" s="183">
        <f>+'POBLACION DEMANDANTE POTENCIAL'!D32*70%</f>
        <v>170.35199999999998</v>
      </c>
      <c r="E9" s="183">
        <f>ROUND(($D$9*(1+$A$7)^(E7-$D$7)),0)</f>
        <v>170</v>
      </c>
      <c r="F9" s="183">
        <f>ROUND(($D$9*(1+$A$7)^(F7-$D$7)),0)</f>
        <v>170</v>
      </c>
      <c r="G9" s="199">
        <f>ROUND(($D$9*(1+$A$7)^(G7-$D$7)),0)</f>
        <v>171</v>
      </c>
      <c r="H9" s="199">
        <f t="shared" ref="H9:P9" si="1">ROUND(($D$9*(1+$A$7)^(H7-$D$7)),0)</f>
        <v>171</v>
      </c>
      <c r="I9" s="199">
        <f t="shared" si="1"/>
        <v>171</v>
      </c>
      <c r="J9" s="199">
        <f t="shared" si="1"/>
        <v>171</v>
      </c>
      <c r="K9" s="199">
        <f t="shared" si="1"/>
        <v>171</v>
      </c>
      <c r="L9" s="199">
        <f t="shared" si="1"/>
        <v>171</v>
      </c>
      <c r="M9" s="199">
        <f t="shared" si="1"/>
        <v>171</v>
      </c>
      <c r="N9" s="199">
        <f t="shared" si="1"/>
        <v>171</v>
      </c>
      <c r="O9" s="199">
        <f t="shared" si="1"/>
        <v>171</v>
      </c>
      <c r="P9" s="199">
        <f t="shared" si="1"/>
        <v>171</v>
      </c>
    </row>
    <row r="11" spans="1:18" x14ac:dyDescent="0.25">
      <c r="C11" s="252" t="s">
        <v>38</v>
      </c>
      <c r="D11" s="249" t="s">
        <v>143</v>
      </c>
      <c r="E11" s="250"/>
      <c r="F11" s="251"/>
      <c r="G11" s="255" t="s">
        <v>39</v>
      </c>
      <c r="H11" s="255"/>
      <c r="I11" s="255"/>
      <c r="J11" s="255"/>
      <c r="K11" s="255"/>
      <c r="L11" s="255"/>
      <c r="M11" s="255"/>
      <c r="N11" s="255"/>
      <c r="O11" s="255"/>
      <c r="P11" s="255"/>
      <c r="Q11" s="17"/>
      <c r="R11" s="17"/>
    </row>
    <row r="12" spans="1:18" x14ac:dyDescent="0.25">
      <c r="C12" s="253"/>
      <c r="D12" s="239">
        <v>0</v>
      </c>
      <c r="E12" s="239"/>
      <c r="F12" s="239"/>
      <c r="G12" s="24">
        <v>1</v>
      </c>
      <c r="H12" s="25">
        <v>2</v>
      </c>
      <c r="I12" s="25">
        <v>3</v>
      </c>
      <c r="J12" s="25">
        <v>4</v>
      </c>
      <c r="K12" s="25">
        <v>5</v>
      </c>
      <c r="L12" s="25">
        <v>6</v>
      </c>
      <c r="M12" s="25">
        <v>7</v>
      </c>
      <c r="N12" s="25">
        <v>8</v>
      </c>
      <c r="O12" s="25">
        <v>9</v>
      </c>
      <c r="P12" s="24">
        <v>10</v>
      </c>
    </row>
    <row r="13" spans="1:18" x14ac:dyDescent="0.25">
      <c r="C13" s="254"/>
      <c r="D13" s="95">
        <v>2024</v>
      </c>
      <c r="E13" s="95">
        <v>2025</v>
      </c>
      <c r="F13" s="95">
        <v>2026</v>
      </c>
      <c r="G13" s="95">
        <v>2027</v>
      </c>
      <c r="H13" s="95">
        <v>2028</v>
      </c>
      <c r="I13" s="95">
        <v>2029</v>
      </c>
      <c r="J13" s="95">
        <v>2030</v>
      </c>
      <c r="K13" s="95">
        <v>2031</v>
      </c>
      <c r="L13" s="95">
        <v>2032</v>
      </c>
      <c r="M13" s="95">
        <v>2033</v>
      </c>
      <c r="N13" s="95">
        <v>2034</v>
      </c>
      <c r="O13" s="95">
        <v>2035</v>
      </c>
      <c r="P13" s="95">
        <v>2036</v>
      </c>
    </row>
    <row r="14" spans="1:18" x14ac:dyDescent="0.25">
      <c r="C14" s="28" t="s">
        <v>348</v>
      </c>
      <c r="D14" s="116">
        <f t="shared" ref="D14:P14" si="2">+D15</f>
        <v>170.35199999999998</v>
      </c>
      <c r="E14" s="116">
        <f t="shared" si="2"/>
        <v>170</v>
      </c>
      <c r="F14" s="116">
        <f t="shared" si="2"/>
        <v>170</v>
      </c>
      <c r="G14" s="132">
        <f t="shared" si="2"/>
        <v>171</v>
      </c>
      <c r="H14" s="132">
        <f t="shared" si="2"/>
        <v>171</v>
      </c>
      <c r="I14" s="132">
        <f t="shared" si="2"/>
        <v>171</v>
      </c>
      <c r="J14" s="132">
        <f t="shared" si="2"/>
        <v>171</v>
      </c>
      <c r="K14" s="132">
        <f t="shared" si="2"/>
        <v>171</v>
      </c>
      <c r="L14" s="132">
        <f t="shared" si="2"/>
        <v>171</v>
      </c>
      <c r="M14" s="132">
        <f t="shared" si="2"/>
        <v>171</v>
      </c>
      <c r="N14" s="132">
        <f t="shared" si="2"/>
        <v>171</v>
      </c>
      <c r="O14" s="132">
        <f t="shared" si="2"/>
        <v>171</v>
      </c>
      <c r="P14" s="132">
        <f t="shared" si="2"/>
        <v>171</v>
      </c>
    </row>
    <row r="15" spans="1:18" x14ac:dyDescent="0.25">
      <c r="C15" s="182" t="s">
        <v>432</v>
      </c>
      <c r="D15" s="183">
        <f>+'POBLACION DEMANDANTE POTENCIAL'!D38*70%</f>
        <v>170.35199999999998</v>
      </c>
      <c r="E15" s="183">
        <f>ROUND(($D$15*(1+$A$7)^(E13-$D$13)),0)</f>
        <v>170</v>
      </c>
      <c r="F15" s="183">
        <f>ROUND(($D$15*(1+$A$7)^(F13-$D$13)),0)</f>
        <v>170</v>
      </c>
      <c r="G15" s="200">
        <f>ROUND(($D$15*(1+$A$7)^(G13-$D$13)),0)</f>
        <v>171</v>
      </c>
      <c r="H15" s="199">
        <f>ROUND(($D$15*(1+$A$7)^(H13-$D$13)),0)</f>
        <v>171</v>
      </c>
      <c r="I15" s="199">
        <f>ROUND(($D$15*(1+$A$7)^(I13-$D$13)),0)</f>
        <v>171</v>
      </c>
      <c r="J15" s="199">
        <f t="shared" ref="J15:P15" si="3">ROUND(($D$15*(1+$A$7)^(J13-$D$13)),0)</f>
        <v>171</v>
      </c>
      <c r="K15" s="199">
        <f t="shared" si="3"/>
        <v>171</v>
      </c>
      <c r="L15" s="199">
        <f t="shared" si="3"/>
        <v>171</v>
      </c>
      <c r="M15" s="199">
        <f t="shared" si="3"/>
        <v>171</v>
      </c>
      <c r="N15" s="199">
        <f t="shared" si="3"/>
        <v>171</v>
      </c>
      <c r="O15" s="199">
        <f t="shared" si="3"/>
        <v>171</v>
      </c>
      <c r="P15" s="199">
        <f t="shared" si="3"/>
        <v>171</v>
      </c>
    </row>
    <row r="16" spans="1:18" ht="28.5" customHeight="1" x14ac:dyDescent="0.25"/>
    <row r="17" spans="2:16" x14ac:dyDescent="0.25">
      <c r="C17" s="239" t="s">
        <v>24</v>
      </c>
      <c r="D17" s="249" t="s">
        <v>143</v>
      </c>
      <c r="E17" s="250"/>
      <c r="F17" s="251"/>
      <c r="G17" s="255" t="s">
        <v>39</v>
      </c>
      <c r="H17" s="255"/>
      <c r="I17" s="255"/>
      <c r="J17" s="255"/>
      <c r="K17" s="255"/>
      <c r="L17" s="255"/>
      <c r="M17" s="255"/>
      <c r="N17" s="255"/>
      <c r="O17" s="255"/>
      <c r="P17" s="255"/>
    </row>
    <row r="18" spans="2:16" x14ac:dyDescent="0.25">
      <c r="C18" s="239"/>
      <c r="D18" s="259">
        <v>0</v>
      </c>
      <c r="E18" s="260"/>
      <c r="F18" s="261"/>
      <c r="G18" s="24">
        <v>1</v>
      </c>
      <c r="H18" s="24">
        <v>2</v>
      </c>
      <c r="I18" s="24">
        <v>3</v>
      </c>
      <c r="J18" s="24">
        <v>4</v>
      </c>
      <c r="K18" s="24">
        <v>5</v>
      </c>
      <c r="L18" s="24">
        <v>6</v>
      </c>
      <c r="M18" s="24">
        <v>7</v>
      </c>
      <c r="N18" s="24">
        <v>8</v>
      </c>
      <c r="O18" s="24">
        <v>9</v>
      </c>
      <c r="P18" s="24">
        <v>10</v>
      </c>
    </row>
    <row r="19" spans="2:16" x14ac:dyDescent="0.25">
      <c r="C19" s="239"/>
      <c r="D19" s="127">
        <f>+D13</f>
        <v>2024</v>
      </c>
      <c r="E19" s="127">
        <f t="shared" ref="E19:P19" si="4">+E13</f>
        <v>2025</v>
      </c>
      <c r="F19" s="127">
        <f t="shared" si="4"/>
        <v>2026</v>
      </c>
      <c r="G19" s="127">
        <f t="shared" si="4"/>
        <v>2027</v>
      </c>
      <c r="H19" s="127">
        <f t="shared" si="4"/>
        <v>2028</v>
      </c>
      <c r="I19" s="127">
        <f t="shared" si="4"/>
        <v>2029</v>
      </c>
      <c r="J19" s="127">
        <f t="shared" si="4"/>
        <v>2030</v>
      </c>
      <c r="K19" s="127">
        <f t="shared" si="4"/>
        <v>2031</v>
      </c>
      <c r="L19" s="127">
        <f t="shared" si="4"/>
        <v>2032</v>
      </c>
      <c r="M19" s="127">
        <f t="shared" si="4"/>
        <v>2033</v>
      </c>
      <c r="N19" s="127">
        <f t="shared" si="4"/>
        <v>2034</v>
      </c>
      <c r="O19" s="127">
        <f t="shared" si="4"/>
        <v>2035</v>
      </c>
      <c r="P19" s="127">
        <f t="shared" si="4"/>
        <v>2036</v>
      </c>
    </row>
    <row r="20" spans="2:16" x14ac:dyDescent="0.25">
      <c r="C20" s="160" t="s">
        <v>241</v>
      </c>
      <c r="D20" s="98">
        <f>+SUM(D21:D27)</f>
        <v>85.6</v>
      </c>
      <c r="E20" s="98">
        <f t="shared" ref="E20:P20" si="5">+SUM(E21:E27)</f>
        <v>85</v>
      </c>
      <c r="F20" s="98">
        <f t="shared" si="5"/>
        <v>85</v>
      </c>
      <c r="G20" s="110">
        <f t="shared" si="5"/>
        <v>85</v>
      </c>
      <c r="H20" s="106">
        <f t="shared" si="5"/>
        <v>85</v>
      </c>
      <c r="I20" s="106">
        <f t="shared" si="5"/>
        <v>85</v>
      </c>
      <c r="J20" s="106">
        <f t="shared" si="5"/>
        <v>85</v>
      </c>
      <c r="K20" s="106">
        <f t="shared" si="5"/>
        <v>85</v>
      </c>
      <c r="L20" s="106">
        <f t="shared" si="5"/>
        <v>85</v>
      </c>
      <c r="M20" s="106">
        <f t="shared" si="5"/>
        <v>85</v>
      </c>
      <c r="N20" s="106">
        <f t="shared" si="5"/>
        <v>85</v>
      </c>
      <c r="O20" s="106">
        <f t="shared" si="5"/>
        <v>85</v>
      </c>
      <c r="P20" s="106">
        <f t="shared" si="5"/>
        <v>85</v>
      </c>
    </row>
    <row r="21" spans="2:16" x14ac:dyDescent="0.25">
      <c r="C21" s="105" t="s">
        <v>199</v>
      </c>
      <c r="D21" s="96">
        <f>+'POBLACION DEMANDANTE POTENCIAL'!D44*80%</f>
        <v>2.4000000000000004</v>
      </c>
      <c r="E21" s="96">
        <f>ROUND(($D$21*(1+$A$7)^(E19-$D$19)),0)</f>
        <v>2</v>
      </c>
      <c r="F21" s="118">
        <f t="shared" ref="F21:P21" si="6">ROUND(($D$21*(1+$A$7)^(F19-$D$19)),0)</f>
        <v>2</v>
      </c>
      <c r="G21" s="187">
        <f t="shared" si="6"/>
        <v>2</v>
      </c>
      <c r="H21" s="186">
        <f t="shared" si="6"/>
        <v>2</v>
      </c>
      <c r="I21" s="186">
        <f t="shared" si="6"/>
        <v>2</v>
      </c>
      <c r="J21" s="186">
        <f t="shared" si="6"/>
        <v>2</v>
      </c>
      <c r="K21" s="186">
        <f t="shared" si="6"/>
        <v>2</v>
      </c>
      <c r="L21" s="186">
        <f t="shared" si="6"/>
        <v>2</v>
      </c>
      <c r="M21" s="186">
        <f t="shared" si="6"/>
        <v>2</v>
      </c>
      <c r="N21" s="186">
        <f t="shared" si="6"/>
        <v>2</v>
      </c>
      <c r="O21" s="186">
        <f t="shared" si="6"/>
        <v>2</v>
      </c>
      <c r="P21" s="186">
        <f t="shared" si="6"/>
        <v>2</v>
      </c>
    </row>
    <row r="22" spans="2:16" x14ac:dyDescent="0.25">
      <c r="C22" s="105" t="s">
        <v>198</v>
      </c>
      <c r="D22" s="96">
        <f>+'POBLACION DEMANDANTE POTENCIAL'!D45*80%</f>
        <v>5.6000000000000005</v>
      </c>
      <c r="E22" s="96">
        <f>ROUND(($D$22*(1+$A$7)^(E19-$D$19)),0)</f>
        <v>6</v>
      </c>
      <c r="F22" s="118">
        <f>ROUND(($D$22*(1+$A$7)^(F19-$D$19)),0)</f>
        <v>6</v>
      </c>
      <c r="G22" s="185">
        <f>ROUND(($D$22*(1+$A$7)^(G19-$D$19)),0)</f>
        <v>6</v>
      </c>
      <c r="H22" s="122">
        <f>ROUND(($D$22*(1+$A$7)^(H19-$D$19)),0)</f>
        <v>6</v>
      </c>
      <c r="I22" s="122">
        <f>ROUND(($D$22*(1+$A$7)^(I19-$D$19)),0)</f>
        <v>6</v>
      </c>
      <c r="J22" s="122">
        <f t="shared" ref="J22:P22" si="7">ROUND(($D$22*(1+$A$7)^(J19-$D$19)),0)</f>
        <v>6</v>
      </c>
      <c r="K22" s="122">
        <f t="shared" si="7"/>
        <v>6</v>
      </c>
      <c r="L22" s="122">
        <f t="shared" si="7"/>
        <v>6</v>
      </c>
      <c r="M22" s="122">
        <f t="shared" si="7"/>
        <v>6</v>
      </c>
      <c r="N22" s="122">
        <f t="shared" si="7"/>
        <v>6</v>
      </c>
      <c r="O22" s="122">
        <f t="shared" si="7"/>
        <v>6</v>
      </c>
      <c r="P22" s="122">
        <f t="shared" si="7"/>
        <v>6</v>
      </c>
    </row>
    <row r="23" spans="2:16" x14ac:dyDescent="0.25">
      <c r="C23" s="51" t="s">
        <v>34</v>
      </c>
      <c r="D23" s="96">
        <f>+'POBLACION DEMANDANTE POTENCIAL'!D46*80%</f>
        <v>4</v>
      </c>
      <c r="E23" s="96">
        <f>ROUND(($D$23*(1+$A$7)^(E19-$D$19)),0)</f>
        <v>4</v>
      </c>
      <c r="F23" s="118">
        <f>ROUND(($D$23*(1+$A$7)^(F19-$D$19)),0)</f>
        <v>4</v>
      </c>
      <c r="G23" s="185">
        <f>ROUND(($D$23*(1+$A$7)^(G19-$D$19)),0)</f>
        <v>4</v>
      </c>
      <c r="H23" s="122">
        <f>ROUND(($D$23*(1+$A$7)^(H19-$D$19)),0)</f>
        <v>4</v>
      </c>
      <c r="I23" s="122">
        <f t="shared" ref="I23:P23" si="8">ROUND(($D$23*(1+$A$7)^(I19-$D$19)),0)</f>
        <v>4</v>
      </c>
      <c r="J23" s="122">
        <f t="shared" si="8"/>
        <v>4</v>
      </c>
      <c r="K23" s="122">
        <f t="shared" si="8"/>
        <v>4</v>
      </c>
      <c r="L23" s="122">
        <f t="shared" si="8"/>
        <v>4</v>
      </c>
      <c r="M23" s="122">
        <f t="shared" si="8"/>
        <v>4</v>
      </c>
      <c r="N23" s="122">
        <f t="shared" si="8"/>
        <v>4</v>
      </c>
      <c r="O23" s="122">
        <f t="shared" si="8"/>
        <v>4</v>
      </c>
      <c r="P23" s="122">
        <f t="shared" si="8"/>
        <v>4</v>
      </c>
    </row>
    <row r="24" spans="2:16" x14ac:dyDescent="0.25">
      <c r="C24" s="51" t="s">
        <v>29</v>
      </c>
      <c r="D24" s="96">
        <f>+'POBLACION DEMANDANTE POTENCIAL'!D47*80%</f>
        <v>10.4</v>
      </c>
      <c r="E24" s="96">
        <f>ROUND(($D$24*(1+$A$7)^(E19-$D$19)),0)</f>
        <v>10</v>
      </c>
      <c r="F24" s="118">
        <f t="shared" ref="F24:P24" si="9">ROUND(($D$24*(1+$A$7)^(F19-$D$19)),0)</f>
        <v>10</v>
      </c>
      <c r="G24" s="185">
        <f t="shared" si="9"/>
        <v>10</v>
      </c>
      <c r="H24" s="122">
        <f t="shared" si="9"/>
        <v>10</v>
      </c>
      <c r="I24" s="122">
        <f t="shared" si="9"/>
        <v>10</v>
      </c>
      <c r="J24" s="122">
        <f t="shared" si="9"/>
        <v>10</v>
      </c>
      <c r="K24" s="122">
        <f t="shared" si="9"/>
        <v>10</v>
      </c>
      <c r="L24" s="122">
        <f t="shared" si="9"/>
        <v>10</v>
      </c>
      <c r="M24" s="122">
        <f t="shared" si="9"/>
        <v>10</v>
      </c>
      <c r="N24" s="122">
        <f t="shared" si="9"/>
        <v>10</v>
      </c>
      <c r="O24" s="122">
        <f t="shared" si="9"/>
        <v>10</v>
      </c>
      <c r="P24" s="122">
        <f t="shared" si="9"/>
        <v>10</v>
      </c>
    </row>
    <row r="25" spans="2:16" x14ac:dyDescent="0.25">
      <c r="C25" s="51" t="s">
        <v>25</v>
      </c>
      <c r="D25" s="96">
        <f>+'POBLACION DEMANDANTE POTENCIAL'!D48*80%</f>
        <v>12</v>
      </c>
      <c r="E25" s="96">
        <f>ROUND(($D$25*(1+$A$7)^(E19-$D$19)),0)</f>
        <v>12</v>
      </c>
      <c r="F25" s="118">
        <f t="shared" ref="F25:P25" si="10">ROUND(($D$25*(1+$A$7)^(F19-$D$19)),0)</f>
        <v>12</v>
      </c>
      <c r="G25" s="185">
        <f t="shared" si="10"/>
        <v>12</v>
      </c>
      <c r="H25" s="122">
        <f t="shared" si="10"/>
        <v>12</v>
      </c>
      <c r="I25" s="122">
        <f t="shared" si="10"/>
        <v>12</v>
      </c>
      <c r="J25" s="122">
        <f t="shared" si="10"/>
        <v>12</v>
      </c>
      <c r="K25" s="122">
        <f t="shared" si="10"/>
        <v>12</v>
      </c>
      <c r="L25" s="122">
        <f t="shared" si="10"/>
        <v>12</v>
      </c>
      <c r="M25" s="122">
        <f t="shared" si="10"/>
        <v>12</v>
      </c>
      <c r="N25" s="122">
        <f t="shared" si="10"/>
        <v>12</v>
      </c>
      <c r="O25" s="122">
        <f t="shared" si="10"/>
        <v>12</v>
      </c>
      <c r="P25" s="122">
        <f t="shared" si="10"/>
        <v>12</v>
      </c>
    </row>
    <row r="26" spans="2:16" x14ac:dyDescent="0.25">
      <c r="C26" s="51" t="s">
        <v>26</v>
      </c>
      <c r="D26" s="96">
        <f>+'POBLACION DEMANDANTE POTENCIAL'!D49*80%</f>
        <v>10.4</v>
      </c>
      <c r="E26" s="96">
        <f>ROUND(($D$26*(1+$A$7)^(E19-$D$19)),0)</f>
        <v>10</v>
      </c>
      <c r="F26" s="118">
        <f t="shared" ref="F26:P26" si="11">ROUND(($D$26*(1+$A$7)^(F19-$D$19)),0)</f>
        <v>10</v>
      </c>
      <c r="G26" s="185">
        <f t="shared" si="11"/>
        <v>10</v>
      </c>
      <c r="H26" s="122">
        <f t="shared" si="11"/>
        <v>10</v>
      </c>
      <c r="I26" s="122">
        <f t="shared" si="11"/>
        <v>10</v>
      </c>
      <c r="J26" s="122">
        <f t="shared" si="11"/>
        <v>10</v>
      </c>
      <c r="K26" s="122">
        <f t="shared" si="11"/>
        <v>10</v>
      </c>
      <c r="L26" s="122">
        <f t="shared" si="11"/>
        <v>10</v>
      </c>
      <c r="M26" s="122">
        <f t="shared" si="11"/>
        <v>10</v>
      </c>
      <c r="N26" s="122">
        <f t="shared" si="11"/>
        <v>10</v>
      </c>
      <c r="O26" s="122">
        <f t="shared" si="11"/>
        <v>10</v>
      </c>
      <c r="P26" s="122">
        <f t="shared" si="11"/>
        <v>10</v>
      </c>
    </row>
    <row r="27" spans="2:16" x14ac:dyDescent="0.25">
      <c r="C27" s="51" t="s">
        <v>196</v>
      </c>
      <c r="D27" s="96">
        <f>+'POBLACION DEMANDANTE POTENCIAL'!D50*80%</f>
        <v>40.800000000000004</v>
      </c>
      <c r="E27" s="96">
        <f>ROUND(($D$27*(1+$A$7)^(E19-$D$19)),0)</f>
        <v>41</v>
      </c>
      <c r="F27" s="118">
        <f t="shared" ref="F27:P27" si="12">ROUND(($D$27*(1+$A$7)^(F19-$D$19)),0)</f>
        <v>41</v>
      </c>
      <c r="G27" s="179">
        <f t="shared" si="12"/>
        <v>41</v>
      </c>
      <c r="H27" s="184">
        <f t="shared" si="12"/>
        <v>41</v>
      </c>
      <c r="I27" s="184">
        <f t="shared" si="12"/>
        <v>41</v>
      </c>
      <c r="J27" s="184">
        <f t="shared" si="12"/>
        <v>41</v>
      </c>
      <c r="K27" s="184">
        <f t="shared" si="12"/>
        <v>41</v>
      </c>
      <c r="L27" s="184">
        <f t="shared" si="12"/>
        <v>41</v>
      </c>
      <c r="M27" s="184">
        <f t="shared" si="12"/>
        <v>41</v>
      </c>
      <c r="N27" s="184">
        <f t="shared" si="12"/>
        <v>41</v>
      </c>
      <c r="O27" s="184">
        <f t="shared" si="12"/>
        <v>41</v>
      </c>
      <c r="P27" s="184">
        <f t="shared" si="12"/>
        <v>41</v>
      </c>
    </row>
    <row r="29" spans="2:16" x14ac:dyDescent="0.25">
      <c r="C29" s="239" t="s">
        <v>24</v>
      </c>
      <c r="D29" s="249" t="s">
        <v>143</v>
      </c>
      <c r="E29" s="250"/>
      <c r="F29" s="251"/>
      <c r="G29" s="255" t="s">
        <v>39</v>
      </c>
      <c r="H29" s="255"/>
      <c r="I29" s="255"/>
      <c r="J29" s="255"/>
      <c r="K29" s="255"/>
      <c r="L29" s="255"/>
      <c r="M29" s="255"/>
      <c r="N29" s="255"/>
      <c r="O29" s="255"/>
      <c r="P29" s="255"/>
    </row>
    <row r="30" spans="2:16" x14ac:dyDescent="0.25">
      <c r="C30" s="239"/>
      <c r="D30" s="259">
        <v>0</v>
      </c>
      <c r="E30" s="260"/>
      <c r="F30" s="261"/>
      <c r="G30" s="24">
        <v>1</v>
      </c>
      <c r="H30" s="24">
        <v>2</v>
      </c>
      <c r="I30" s="24">
        <v>3</v>
      </c>
      <c r="J30" s="24">
        <v>4</v>
      </c>
      <c r="K30" s="24">
        <v>5</v>
      </c>
      <c r="L30" s="24">
        <v>6</v>
      </c>
      <c r="M30" s="24">
        <v>7</v>
      </c>
      <c r="N30" s="24">
        <v>8</v>
      </c>
      <c r="O30" s="24">
        <v>9</v>
      </c>
      <c r="P30" s="24">
        <v>10</v>
      </c>
    </row>
    <row r="31" spans="2:16" x14ac:dyDescent="0.25">
      <c r="C31" s="239"/>
      <c r="D31" s="95">
        <f>+D19</f>
        <v>2024</v>
      </c>
      <c r="E31" s="95">
        <f t="shared" ref="E31:P31" si="13">+E19</f>
        <v>2025</v>
      </c>
      <c r="F31" s="95">
        <f t="shared" si="13"/>
        <v>2026</v>
      </c>
      <c r="G31" s="95">
        <f t="shared" si="13"/>
        <v>2027</v>
      </c>
      <c r="H31" s="95">
        <f t="shared" si="13"/>
        <v>2028</v>
      </c>
      <c r="I31" s="95">
        <f t="shared" si="13"/>
        <v>2029</v>
      </c>
      <c r="J31" s="95">
        <f t="shared" si="13"/>
        <v>2030</v>
      </c>
      <c r="K31" s="95">
        <f t="shared" si="13"/>
        <v>2031</v>
      </c>
      <c r="L31" s="95">
        <f t="shared" si="13"/>
        <v>2032</v>
      </c>
      <c r="M31" s="95">
        <f t="shared" si="13"/>
        <v>2033</v>
      </c>
      <c r="N31" s="95">
        <f t="shared" si="13"/>
        <v>2034</v>
      </c>
      <c r="O31" s="95">
        <f t="shared" si="13"/>
        <v>2035</v>
      </c>
      <c r="P31" s="95">
        <f t="shared" si="13"/>
        <v>2036</v>
      </c>
    </row>
    <row r="32" spans="2:16" ht="24.75" customHeight="1" x14ac:dyDescent="0.25">
      <c r="B32" s="93"/>
      <c r="C32" s="99" t="s">
        <v>192</v>
      </c>
      <c r="D32" s="106">
        <f>+SUM(D33:D37)</f>
        <v>34.4</v>
      </c>
      <c r="E32" s="106">
        <f t="shared" ref="E32:P32" si="14">+SUM(E33:E37)</f>
        <v>34</v>
      </c>
      <c r="F32" s="143">
        <f t="shared" si="14"/>
        <v>34</v>
      </c>
      <c r="G32" s="106">
        <f t="shared" si="14"/>
        <v>34</v>
      </c>
      <c r="H32" s="106">
        <f t="shared" si="14"/>
        <v>34</v>
      </c>
      <c r="I32" s="106">
        <f t="shared" si="14"/>
        <v>34</v>
      </c>
      <c r="J32" s="106">
        <f t="shared" si="14"/>
        <v>34</v>
      </c>
      <c r="K32" s="106">
        <f t="shared" si="14"/>
        <v>34</v>
      </c>
      <c r="L32" s="106">
        <f t="shared" si="14"/>
        <v>34</v>
      </c>
      <c r="M32" s="106">
        <f t="shared" si="14"/>
        <v>34</v>
      </c>
      <c r="N32" s="106">
        <f t="shared" si="14"/>
        <v>34</v>
      </c>
      <c r="O32" s="106">
        <f t="shared" si="14"/>
        <v>34</v>
      </c>
      <c r="P32" s="106">
        <f t="shared" si="14"/>
        <v>34</v>
      </c>
    </row>
    <row r="33" spans="2:18" x14ac:dyDescent="0.25">
      <c r="C33" s="105" t="s">
        <v>201</v>
      </c>
      <c r="D33" s="96">
        <f>+'POBLACION DEMANDANTE POTENCIAL'!D56*80%</f>
        <v>2.4000000000000004</v>
      </c>
      <c r="E33" s="96">
        <f>ROUND(($D$33*(1+$A$7)^(E31-$D$31)),0)</f>
        <v>2</v>
      </c>
      <c r="F33" s="118">
        <f t="shared" ref="F33:P33" si="15">ROUND(($D$33*(1+$A$7)^(F31-$D$31)),0)</f>
        <v>2</v>
      </c>
      <c r="G33" s="187">
        <f t="shared" si="15"/>
        <v>2</v>
      </c>
      <c r="H33" s="186">
        <f t="shared" si="15"/>
        <v>2</v>
      </c>
      <c r="I33" s="186">
        <f t="shared" si="15"/>
        <v>2</v>
      </c>
      <c r="J33" s="186">
        <f t="shared" si="15"/>
        <v>2</v>
      </c>
      <c r="K33" s="186">
        <f t="shared" si="15"/>
        <v>2</v>
      </c>
      <c r="L33" s="186">
        <f t="shared" si="15"/>
        <v>2</v>
      </c>
      <c r="M33" s="186">
        <f t="shared" si="15"/>
        <v>2</v>
      </c>
      <c r="N33" s="186">
        <f t="shared" si="15"/>
        <v>2</v>
      </c>
      <c r="O33" s="186">
        <f t="shared" si="15"/>
        <v>2</v>
      </c>
      <c r="P33" s="186">
        <f t="shared" si="15"/>
        <v>2</v>
      </c>
    </row>
    <row r="34" spans="2:18" x14ac:dyDescent="0.25">
      <c r="C34" s="105" t="s">
        <v>373</v>
      </c>
      <c r="D34" s="96">
        <f>+'POBLACION DEMANDANTE POTENCIAL'!D57*80%</f>
        <v>5.6000000000000005</v>
      </c>
      <c r="E34" s="96">
        <f t="shared" ref="E34:M34" si="16">ROUND(($D$34*(1+$A$7)^(E31-$D$31)),0)</f>
        <v>6</v>
      </c>
      <c r="F34" s="118">
        <f t="shared" si="16"/>
        <v>6</v>
      </c>
      <c r="G34" s="185">
        <f t="shared" si="16"/>
        <v>6</v>
      </c>
      <c r="H34" s="122">
        <f t="shared" si="16"/>
        <v>6</v>
      </c>
      <c r="I34" s="122">
        <f t="shared" si="16"/>
        <v>6</v>
      </c>
      <c r="J34" s="122">
        <f t="shared" si="16"/>
        <v>6</v>
      </c>
      <c r="K34" s="122">
        <f t="shared" si="16"/>
        <v>6</v>
      </c>
      <c r="L34" s="122">
        <f t="shared" si="16"/>
        <v>6</v>
      </c>
      <c r="M34" s="122">
        <f t="shared" si="16"/>
        <v>6</v>
      </c>
      <c r="N34" s="122">
        <f t="shared" ref="N34:P34" si="17">ROUND(($D$34*(1+$A$7)^(N31-$D$31)),0)</f>
        <v>6</v>
      </c>
      <c r="O34" s="122">
        <f>ROUND(($D$34*(1+$A$7)^(O31-$D$31)),0)</f>
        <v>6</v>
      </c>
      <c r="P34" s="122">
        <f t="shared" si="17"/>
        <v>6</v>
      </c>
    </row>
    <row r="35" spans="2:18" x14ac:dyDescent="0.25">
      <c r="C35" s="51" t="s">
        <v>200</v>
      </c>
      <c r="D35" s="96">
        <f>+'POBLACION DEMANDANTE POTENCIAL'!D58*80%</f>
        <v>4</v>
      </c>
      <c r="E35" s="96">
        <f>ROUND(($D$35*(1+$A$7)^(E31-$D$31)),0)</f>
        <v>4</v>
      </c>
      <c r="F35" s="118">
        <f>ROUND(($D$35*(1+$A$7)^(F31-$D$31)),0)</f>
        <v>4</v>
      </c>
      <c r="G35" s="185">
        <f t="shared" ref="G35:P35" si="18">ROUND(($D$35*(1+$A$7)^(G31-$D$31)),0)</f>
        <v>4</v>
      </c>
      <c r="H35" s="122">
        <f t="shared" si="18"/>
        <v>4</v>
      </c>
      <c r="I35" s="122">
        <f t="shared" si="18"/>
        <v>4</v>
      </c>
      <c r="J35" s="122">
        <f t="shared" si="18"/>
        <v>4</v>
      </c>
      <c r="K35" s="122">
        <f t="shared" si="18"/>
        <v>4</v>
      </c>
      <c r="L35" s="122">
        <f t="shared" si="18"/>
        <v>4</v>
      </c>
      <c r="M35" s="122">
        <f t="shared" si="18"/>
        <v>4</v>
      </c>
      <c r="N35" s="122">
        <f t="shared" si="18"/>
        <v>4</v>
      </c>
      <c r="O35" s="122">
        <f t="shared" si="18"/>
        <v>4</v>
      </c>
      <c r="P35" s="122">
        <f t="shared" si="18"/>
        <v>4</v>
      </c>
    </row>
    <row r="36" spans="2:18" x14ac:dyDescent="0.25">
      <c r="C36" s="51" t="s">
        <v>29</v>
      </c>
      <c r="D36" s="96">
        <f>+'POBLACION DEMANDANTE POTENCIAL'!D59*80%</f>
        <v>10.4</v>
      </c>
      <c r="E36" s="96">
        <f>ROUND((D36*(1+$A$7)^(E31-$D$31)),0)</f>
        <v>10</v>
      </c>
      <c r="F36" s="118">
        <f>ROUND((E36*(1+$A$7)^(F31-$D$31)),0)</f>
        <v>10</v>
      </c>
      <c r="G36" s="185">
        <f>ROUND((F36*(1+$A$7)^(G31-$D$31)),0)</f>
        <v>10</v>
      </c>
      <c r="H36" s="122">
        <f t="shared" ref="H36:P36" si="19">ROUND((G36*(1+$A$7)^(H31-$D$31)),0)</f>
        <v>10</v>
      </c>
      <c r="I36" s="122">
        <f t="shared" si="19"/>
        <v>10</v>
      </c>
      <c r="J36" s="122">
        <f t="shared" si="19"/>
        <v>10</v>
      </c>
      <c r="K36" s="122">
        <f t="shared" si="19"/>
        <v>10</v>
      </c>
      <c r="L36" s="122">
        <f t="shared" si="19"/>
        <v>10</v>
      </c>
      <c r="M36" s="122">
        <f t="shared" si="19"/>
        <v>10</v>
      </c>
      <c r="N36" s="122">
        <f t="shared" si="19"/>
        <v>10</v>
      </c>
      <c r="O36" s="122">
        <f t="shared" si="19"/>
        <v>10</v>
      </c>
      <c r="P36" s="122">
        <f t="shared" si="19"/>
        <v>10</v>
      </c>
    </row>
    <row r="37" spans="2:18" x14ac:dyDescent="0.25">
      <c r="C37" s="51" t="s">
        <v>25</v>
      </c>
      <c r="D37" s="96">
        <f>+'POBLACION DEMANDANTE POTENCIAL'!D60*80%</f>
        <v>12</v>
      </c>
      <c r="E37" s="96">
        <f>ROUND((D37*(1+$A$7)^(E31-$D$31)),0)</f>
        <v>12</v>
      </c>
      <c r="F37" s="118">
        <f t="shared" ref="F37:P37" si="20">ROUND((E37*(1+$A$7)^(F31-$D$31)),0)</f>
        <v>12</v>
      </c>
      <c r="G37" s="179">
        <f t="shared" si="20"/>
        <v>12</v>
      </c>
      <c r="H37" s="184">
        <f t="shared" si="20"/>
        <v>12</v>
      </c>
      <c r="I37" s="184">
        <f t="shared" si="20"/>
        <v>12</v>
      </c>
      <c r="J37" s="184">
        <f t="shared" si="20"/>
        <v>12</v>
      </c>
      <c r="K37" s="184">
        <f t="shared" si="20"/>
        <v>12</v>
      </c>
      <c r="L37" s="184">
        <f t="shared" si="20"/>
        <v>12</v>
      </c>
      <c r="M37" s="184">
        <f t="shared" si="20"/>
        <v>12</v>
      </c>
      <c r="N37" s="184">
        <f t="shared" si="20"/>
        <v>12</v>
      </c>
      <c r="O37" s="184">
        <f t="shared" si="20"/>
        <v>12</v>
      </c>
      <c r="P37" s="184">
        <f t="shared" si="20"/>
        <v>12</v>
      </c>
    </row>
    <row r="39" spans="2:18" x14ac:dyDescent="0.25">
      <c r="C39" s="239" t="s">
        <v>24</v>
      </c>
      <c r="D39" s="249" t="s">
        <v>143</v>
      </c>
      <c r="E39" s="250"/>
      <c r="F39" s="251"/>
      <c r="G39" s="255" t="s">
        <v>39</v>
      </c>
      <c r="H39" s="255"/>
      <c r="I39" s="255"/>
      <c r="J39" s="255"/>
      <c r="K39" s="255"/>
      <c r="L39" s="255"/>
      <c r="M39" s="255"/>
      <c r="N39" s="255"/>
      <c r="O39" s="255"/>
      <c r="P39" s="255"/>
    </row>
    <row r="40" spans="2:18" x14ac:dyDescent="0.25">
      <c r="C40" s="239"/>
      <c r="D40" s="259">
        <v>0</v>
      </c>
      <c r="E40" s="260"/>
      <c r="F40" s="261"/>
      <c r="G40" s="24">
        <v>1</v>
      </c>
      <c r="H40" s="24">
        <v>2</v>
      </c>
      <c r="I40" s="24">
        <v>3</v>
      </c>
      <c r="J40" s="24">
        <v>4</v>
      </c>
      <c r="K40" s="24">
        <v>5</v>
      </c>
      <c r="L40" s="24">
        <v>6</v>
      </c>
      <c r="M40" s="24">
        <v>7</v>
      </c>
      <c r="N40" s="24">
        <v>8</v>
      </c>
      <c r="O40" s="24">
        <v>9</v>
      </c>
      <c r="P40" s="24">
        <v>10</v>
      </c>
    </row>
    <row r="41" spans="2:18" x14ac:dyDescent="0.25">
      <c r="C41" s="239"/>
      <c r="D41" s="20">
        <v>2024</v>
      </c>
      <c r="E41" s="20">
        <v>2025</v>
      </c>
      <c r="F41" s="20">
        <v>2026</v>
      </c>
      <c r="G41" s="20">
        <v>2027</v>
      </c>
      <c r="H41" s="20">
        <v>2028</v>
      </c>
      <c r="I41" s="20">
        <v>2029</v>
      </c>
      <c r="J41" s="20">
        <v>2030</v>
      </c>
      <c r="K41" s="20">
        <v>2031</v>
      </c>
      <c r="L41" s="20">
        <v>2032</v>
      </c>
      <c r="M41" s="20">
        <v>2033</v>
      </c>
      <c r="N41" s="20">
        <v>2034</v>
      </c>
      <c r="O41" s="20">
        <v>2035</v>
      </c>
      <c r="P41" s="20">
        <v>2036</v>
      </c>
    </row>
    <row r="42" spans="2:18" ht="25.5" x14ac:dyDescent="0.25">
      <c r="C42" s="99" t="s">
        <v>242</v>
      </c>
      <c r="D42" s="97">
        <f t="shared" ref="D42:I42" si="21">+SUM(D43:D48)</f>
        <v>56.8</v>
      </c>
      <c r="E42" s="97">
        <f t="shared" si="21"/>
        <v>56</v>
      </c>
      <c r="F42" s="97">
        <f t="shared" si="21"/>
        <v>56</v>
      </c>
      <c r="G42" s="97">
        <f t="shared" si="21"/>
        <v>56</v>
      </c>
      <c r="H42" s="97">
        <f t="shared" si="21"/>
        <v>56</v>
      </c>
      <c r="I42" s="97">
        <f t="shared" si="21"/>
        <v>56</v>
      </c>
      <c r="J42" s="97">
        <f t="shared" ref="J42:P42" si="22">+SUM(J43:J48)</f>
        <v>56</v>
      </c>
      <c r="K42" s="97">
        <f t="shared" si="22"/>
        <v>56</v>
      </c>
      <c r="L42" s="97">
        <f t="shared" si="22"/>
        <v>56</v>
      </c>
      <c r="M42" s="97">
        <f t="shared" si="22"/>
        <v>56</v>
      </c>
      <c r="N42" s="97">
        <f t="shared" si="22"/>
        <v>56</v>
      </c>
      <c r="O42" s="97">
        <f t="shared" si="22"/>
        <v>56</v>
      </c>
      <c r="P42" s="97">
        <f t="shared" si="22"/>
        <v>56</v>
      </c>
    </row>
    <row r="43" spans="2:18" ht="16.5" customHeight="1" x14ac:dyDescent="0.25">
      <c r="C43" s="105" t="s">
        <v>373</v>
      </c>
      <c r="D43" s="96">
        <f>+'POBLACION DEMANDANTE POTENCIAL'!D66*80%</f>
        <v>5.6000000000000005</v>
      </c>
      <c r="E43" s="96">
        <f>ROUND(($D$43*(1+$A$7)^(E41-$D$41)),0)</f>
        <v>6</v>
      </c>
      <c r="F43" s="118">
        <f t="shared" ref="F43:P43" si="23">ROUND(($D$43*(1+$A$7)^(F41-$D$41)),0)</f>
        <v>6</v>
      </c>
      <c r="G43" s="187">
        <f t="shared" si="23"/>
        <v>6</v>
      </c>
      <c r="H43" s="186">
        <f t="shared" si="23"/>
        <v>6</v>
      </c>
      <c r="I43" s="186">
        <f t="shared" si="23"/>
        <v>6</v>
      </c>
      <c r="J43" s="186">
        <f t="shared" si="23"/>
        <v>6</v>
      </c>
      <c r="K43" s="186">
        <f t="shared" si="23"/>
        <v>6</v>
      </c>
      <c r="L43" s="186">
        <f t="shared" si="23"/>
        <v>6</v>
      </c>
      <c r="M43" s="186">
        <f t="shared" si="23"/>
        <v>6</v>
      </c>
      <c r="N43" s="186">
        <f t="shared" si="23"/>
        <v>6</v>
      </c>
      <c r="O43" s="186">
        <f t="shared" si="23"/>
        <v>6</v>
      </c>
      <c r="P43" s="186">
        <f t="shared" si="23"/>
        <v>6</v>
      </c>
    </row>
    <row r="44" spans="2:18" ht="15" customHeight="1" x14ac:dyDescent="0.25">
      <c r="C44" s="51" t="s">
        <v>34</v>
      </c>
      <c r="D44" s="96">
        <f>+'POBLACION DEMANDANTE POTENCIAL'!D67*80%</f>
        <v>4</v>
      </c>
      <c r="E44" s="96">
        <f>ROUND(($D$44*(1+$A$7)^(E41-$D$41)),0)</f>
        <v>4</v>
      </c>
      <c r="F44" s="118">
        <f t="shared" ref="F44:P44" si="24">ROUND(($D$44*(1+$A$7)^(F41-$D$41)),0)</f>
        <v>4</v>
      </c>
      <c r="G44" s="185">
        <f t="shared" si="24"/>
        <v>4</v>
      </c>
      <c r="H44" s="122">
        <f t="shared" si="24"/>
        <v>4</v>
      </c>
      <c r="I44" s="122">
        <f t="shared" si="24"/>
        <v>4</v>
      </c>
      <c r="J44" s="122">
        <f t="shared" si="24"/>
        <v>4</v>
      </c>
      <c r="K44" s="122">
        <f t="shared" si="24"/>
        <v>4</v>
      </c>
      <c r="L44" s="122">
        <f t="shared" si="24"/>
        <v>4</v>
      </c>
      <c r="M44" s="122">
        <f t="shared" si="24"/>
        <v>4</v>
      </c>
      <c r="N44" s="122">
        <f t="shared" si="24"/>
        <v>4</v>
      </c>
      <c r="O44" s="122">
        <f t="shared" si="24"/>
        <v>4</v>
      </c>
      <c r="P44" s="122">
        <f t="shared" si="24"/>
        <v>4</v>
      </c>
    </row>
    <row r="45" spans="2:18" s="19" customFormat="1" x14ac:dyDescent="0.25">
      <c r="B45"/>
      <c r="C45" s="51" t="s">
        <v>29</v>
      </c>
      <c r="D45" s="96">
        <f>+'POBLACION DEMANDANTE POTENCIAL'!D68*80%</f>
        <v>10.4</v>
      </c>
      <c r="E45" s="96">
        <f>ROUND(($D$45*(1+$A$7)^(E41-$D$41)),0)</f>
        <v>10</v>
      </c>
      <c r="F45" s="118">
        <f t="shared" ref="F45:P45" si="25">ROUND(($D$45*(1+$A$7)^(F41-$D$41)),0)</f>
        <v>10</v>
      </c>
      <c r="G45" s="185">
        <f t="shared" si="25"/>
        <v>10</v>
      </c>
      <c r="H45" s="122">
        <f t="shared" si="25"/>
        <v>10</v>
      </c>
      <c r="I45" s="122">
        <f t="shared" si="25"/>
        <v>10</v>
      </c>
      <c r="J45" s="122">
        <f t="shared" si="25"/>
        <v>10</v>
      </c>
      <c r="K45" s="122">
        <f t="shared" si="25"/>
        <v>10</v>
      </c>
      <c r="L45" s="122">
        <f t="shared" si="25"/>
        <v>10</v>
      </c>
      <c r="M45" s="122">
        <f t="shared" si="25"/>
        <v>10</v>
      </c>
      <c r="N45" s="122">
        <f t="shared" si="25"/>
        <v>10</v>
      </c>
      <c r="O45" s="122">
        <f t="shared" si="25"/>
        <v>10</v>
      </c>
      <c r="P45" s="122">
        <f t="shared" si="25"/>
        <v>10</v>
      </c>
      <c r="Q45"/>
      <c r="R45"/>
    </row>
    <row r="46" spans="2:18" s="19" customFormat="1" x14ac:dyDescent="0.25">
      <c r="B46"/>
      <c r="C46" s="51" t="s">
        <v>25</v>
      </c>
      <c r="D46" s="96">
        <f>+'POBLACION DEMANDANTE POTENCIAL'!D69*80%</f>
        <v>12</v>
      </c>
      <c r="E46" s="96">
        <f>ROUND(($D$46*(1+$A$7)^(E41-$D$41)),0)</f>
        <v>12</v>
      </c>
      <c r="F46" s="118">
        <f t="shared" ref="F46:P46" si="26">ROUND(($D$46*(1+$A$7)^(F41-$D$41)),0)</f>
        <v>12</v>
      </c>
      <c r="G46" s="185">
        <f t="shared" si="26"/>
        <v>12</v>
      </c>
      <c r="H46" s="122">
        <f t="shared" si="26"/>
        <v>12</v>
      </c>
      <c r="I46" s="122">
        <f t="shared" si="26"/>
        <v>12</v>
      </c>
      <c r="J46" s="122">
        <f t="shared" si="26"/>
        <v>12</v>
      </c>
      <c r="K46" s="122">
        <f t="shared" si="26"/>
        <v>12</v>
      </c>
      <c r="L46" s="122">
        <f t="shared" si="26"/>
        <v>12</v>
      </c>
      <c r="M46" s="122">
        <f t="shared" si="26"/>
        <v>12</v>
      </c>
      <c r="N46" s="122">
        <f t="shared" si="26"/>
        <v>12</v>
      </c>
      <c r="O46" s="122">
        <f t="shared" si="26"/>
        <v>12</v>
      </c>
      <c r="P46" s="122">
        <f t="shared" si="26"/>
        <v>12</v>
      </c>
      <c r="Q46"/>
      <c r="R46"/>
    </row>
    <row r="47" spans="2:18" x14ac:dyDescent="0.25">
      <c r="C47" s="51" t="s">
        <v>202</v>
      </c>
      <c r="D47" s="96">
        <f>+'POBLACION DEMANDANTE POTENCIAL'!D70*80%</f>
        <v>10.4</v>
      </c>
      <c r="E47" s="96">
        <f>ROUND(($D$47*(1+$A$7)^(E41-$D$41)),0)</f>
        <v>10</v>
      </c>
      <c r="F47" s="118">
        <f t="shared" ref="F47:P47" si="27">ROUND(($D$47*(1+$A$7)^(F41-$D$41)),0)</f>
        <v>10</v>
      </c>
      <c r="G47" s="185">
        <f t="shared" si="27"/>
        <v>10</v>
      </c>
      <c r="H47" s="122">
        <f t="shared" si="27"/>
        <v>10</v>
      </c>
      <c r="I47" s="122">
        <f t="shared" si="27"/>
        <v>10</v>
      </c>
      <c r="J47" s="122">
        <f t="shared" si="27"/>
        <v>10</v>
      </c>
      <c r="K47" s="122">
        <f t="shared" si="27"/>
        <v>10</v>
      </c>
      <c r="L47" s="122">
        <f t="shared" si="27"/>
        <v>10</v>
      </c>
      <c r="M47" s="122">
        <f t="shared" si="27"/>
        <v>10</v>
      </c>
      <c r="N47" s="122">
        <f t="shared" si="27"/>
        <v>10</v>
      </c>
      <c r="O47" s="122">
        <f t="shared" si="27"/>
        <v>10</v>
      </c>
      <c r="P47" s="122">
        <f t="shared" si="27"/>
        <v>10</v>
      </c>
    </row>
    <row r="48" spans="2:18" x14ac:dyDescent="0.25">
      <c r="C48" s="51" t="s">
        <v>195</v>
      </c>
      <c r="D48" s="96">
        <f>+'POBLACION DEMANDANTE POTENCIAL'!D71*80%</f>
        <v>14.4</v>
      </c>
      <c r="E48" s="96">
        <f>ROUND(($D$48*(1+$A$7)^(E41-$D$41)),0)</f>
        <v>14</v>
      </c>
      <c r="F48" s="118">
        <f t="shared" ref="F48:P48" si="28">ROUND(($D$48*(1+$A$7)^(F41-$D$41)),0)</f>
        <v>14</v>
      </c>
      <c r="G48" s="179">
        <f t="shared" si="28"/>
        <v>14</v>
      </c>
      <c r="H48" s="184">
        <f t="shared" si="28"/>
        <v>14</v>
      </c>
      <c r="I48" s="184">
        <f t="shared" si="28"/>
        <v>14</v>
      </c>
      <c r="J48" s="184">
        <f t="shared" si="28"/>
        <v>14</v>
      </c>
      <c r="K48" s="184">
        <f t="shared" si="28"/>
        <v>14</v>
      </c>
      <c r="L48" s="184">
        <f t="shared" si="28"/>
        <v>14</v>
      </c>
      <c r="M48" s="184">
        <f t="shared" si="28"/>
        <v>14</v>
      </c>
      <c r="N48" s="184">
        <f t="shared" si="28"/>
        <v>14</v>
      </c>
      <c r="O48" s="184">
        <f t="shared" si="28"/>
        <v>14</v>
      </c>
      <c r="P48" s="184">
        <f t="shared" si="28"/>
        <v>14</v>
      </c>
    </row>
    <row r="50" spans="1:18" x14ac:dyDescent="0.25">
      <c r="A50">
        <f>+Hoja1!D16</f>
        <v>507</v>
      </c>
      <c r="B50" s="126">
        <f>+Hoja3!D7</f>
        <v>0</v>
      </c>
      <c r="C50" s="262" t="s">
        <v>37</v>
      </c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</row>
    <row r="51" spans="1:18" x14ac:dyDescent="0.25">
      <c r="B51" s="256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</row>
    <row r="52" spans="1:18" x14ac:dyDescent="0.25">
      <c r="C52" s="252" t="s">
        <v>38</v>
      </c>
      <c r="D52" s="249" t="s">
        <v>143</v>
      </c>
      <c r="E52" s="250"/>
      <c r="F52" s="251"/>
      <c r="G52" s="255" t="s">
        <v>39</v>
      </c>
      <c r="H52" s="255"/>
      <c r="I52" s="255"/>
      <c r="J52" s="255"/>
      <c r="K52" s="255"/>
      <c r="L52" s="255"/>
      <c r="M52" s="255"/>
      <c r="N52" s="255"/>
      <c r="O52" s="255"/>
      <c r="P52" s="255"/>
      <c r="Q52" s="17"/>
      <c r="R52" s="17"/>
    </row>
    <row r="53" spans="1:18" x14ac:dyDescent="0.25">
      <c r="C53" s="253"/>
      <c r="D53" s="239">
        <v>0</v>
      </c>
      <c r="E53" s="239"/>
      <c r="F53" s="239"/>
      <c r="G53" s="24">
        <v>1</v>
      </c>
      <c r="H53" s="25">
        <v>2</v>
      </c>
      <c r="I53" s="25">
        <v>3</v>
      </c>
      <c r="J53" s="25">
        <v>4</v>
      </c>
      <c r="K53" s="25">
        <v>5</v>
      </c>
      <c r="L53" s="25">
        <v>6</v>
      </c>
      <c r="M53" s="25">
        <v>7</v>
      </c>
      <c r="N53" s="25">
        <v>8</v>
      </c>
      <c r="O53" s="25">
        <v>9</v>
      </c>
      <c r="P53" s="24">
        <v>10</v>
      </c>
    </row>
    <row r="54" spans="1:18" ht="25.5" customHeight="1" x14ac:dyDescent="0.25">
      <c r="C54" s="254"/>
      <c r="D54" s="95">
        <v>2024</v>
      </c>
      <c r="E54" s="95">
        <v>2025</v>
      </c>
      <c r="F54" s="95">
        <v>2026</v>
      </c>
      <c r="G54" s="95">
        <v>2027</v>
      </c>
      <c r="H54" s="95">
        <v>2028</v>
      </c>
      <c r="I54" s="95">
        <v>2029</v>
      </c>
      <c r="J54" s="95">
        <v>2030</v>
      </c>
      <c r="K54" s="95">
        <v>2031</v>
      </c>
      <c r="L54" s="95">
        <v>2032</v>
      </c>
      <c r="M54" s="95">
        <v>2033</v>
      </c>
      <c r="N54" s="95">
        <v>2034</v>
      </c>
      <c r="O54" s="95">
        <v>2035</v>
      </c>
      <c r="P54" s="95">
        <v>2036</v>
      </c>
    </row>
    <row r="55" spans="1:18" ht="25.5" x14ac:dyDescent="0.25">
      <c r="C55" s="28" t="s">
        <v>379</v>
      </c>
      <c r="D55" s="98">
        <f>+SUM(D56:D61)</f>
        <v>291.20000000000005</v>
      </c>
      <c r="E55" s="98">
        <f>+SUM(E56:E61)</f>
        <v>292</v>
      </c>
      <c r="F55" s="120">
        <f t="shared" ref="F55:P55" si="29">+SUM(F56:F61)</f>
        <v>292</v>
      </c>
      <c r="G55" s="106">
        <f t="shared" si="29"/>
        <v>292</v>
      </c>
      <c r="H55" s="106">
        <f t="shared" si="29"/>
        <v>292</v>
      </c>
      <c r="I55" s="106">
        <f t="shared" si="29"/>
        <v>292</v>
      </c>
      <c r="J55" s="106">
        <f t="shared" si="29"/>
        <v>292</v>
      </c>
      <c r="K55" s="106">
        <f t="shared" si="29"/>
        <v>292</v>
      </c>
      <c r="L55" s="106">
        <f t="shared" si="29"/>
        <v>292</v>
      </c>
      <c r="M55" s="106">
        <f t="shared" si="29"/>
        <v>292</v>
      </c>
      <c r="N55" s="106">
        <f t="shared" si="29"/>
        <v>292</v>
      </c>
      <c r="O55" s="106">
        <f t="shared" si="29"/>
        <v>292</v>
      </c>
      <c r="P55" s="106">
        <f t="shared" si="29"/>
        <v>292</v>
      </c>
    </row>
    <row r="56" spans="1:18" x14ac:dyDescent="0.25">
      <c r="C56" s="105" t="s">
        <v>181</v>
      </c>
      <c r="D56" s="94">
        <f>+'POBLACION DEMANDANTE POTENCIAL'!D79*80%</f>
        <v>43.2</v>
      </c>
      <c r="E56" s="94">
        <f>ROUND(($D$56*(1+$A$7)^(E54-$D$54)),0)</f>
        <v>43</v>
      </c>
      <c r="F56" s="128">
        <f t="shared" ref="F56:P56" si="30">ROUND(($D$56*(1+$A$7)^(F54-$D$54)),0)</f>
        <v>43</v>
      </c>
      <c r="G56" s="192">
        <f t="shared" si="30"/>
        <v>43</v>
      </c>
      <c r="H56" s="193">
        <f t="shared" si="30"/>
        <v>43</v>
      </c>
      <c r="I56" s="193">
        <f t="shared" si="30"/>
        <v>43</v>
      </c>
      <c r="J56" s="193">
        <f t="shared" si="30"/>
        <v>43</v>
      </c>
      <c r="K56" s="193">
        <f t="shared" si="30"/>
        <v>43</v>
      </c>
      <c r="L56" s="193">
        <f t="shared" si="30"/>
        <v>43</v>
      </c>
      <c r="M56" s="193">
        <f t="shared" si="30"/>
        <v>43</v>
      </c>
      <c r="N56" s="193">
        <f t="shared" si="30"/>
        <v>43</v>
      </c>
      <c r="O56" s="193">
        <f t="shared" si="30"/>
        <v>43</v>
      </c>
      <c r="P56" s="193">
        <f t="shared" si="30"/>
        <v>43</v>
      </c>
    </row>
    <row r="57" spans="1:18" x14ac:dyDescent="0.25">
      <c r="C57" s="51" t="s">
        <v>182</v>
      </c>
      <c r="D57" s="94">
        <f>+'POBLACION DEMANDANTE POTENCIAL'!D80*80%</f>
        <v>69.600000000000009</v>
      </c>
      <c r="E57" s="94">
        <f>ROUND(($D$57*(1+$A$7)^(E54-$D$54)),0)</f>
        <v>70</v>
      </c>
      <c r="F57" s="128">
        <f>ROUND(($D$57*(1+$A$7)^(F54-$D$54)),0)</f>
        <v>70</v>
      </c>
      <c r="G57" s="189">
        <f>ROUND(($D$57*(1+$A$7)^(G54-$D$54)),0)</f>
        <v>70</v>
      </c>
      <c r="H57" s="124">
        <f t="shared" ref="H57:P57" si="31">ROUND(($D$57*(1+$A$7)^(H54-$D$54)),0)</f>
        <v>70</v>
      </c>
      <c r="I57" s="124">
        <f t="shared" si="31"/>
        <v>70</v>
      </c>
      <c r="J57" s="124">
        <f t="shared" si="31"/>
        <v>70</v>
      </c>
      <c r="K57" s="124">
        <f t="shared" si="31"/>
        <v>70</v>
      </c>
      <c r="L57" s="124">
        <f t="shared" si="31"/>
        <v>70</v>
      </c>
      <c r="M57" s="124">
        <f t="shared" si="31"/>
        <v>70</v>
      </c>
      <c r="N57" s="124">
        <f t="shared" si="31"/>
        <v>70</v>
      </c>
      <c r="O57" s="124">
        <f t="shared" si="31"/>
        <v>70</v>
      </c>
      <c r="P57" s="124">
        <f t="shared" si="31"/>
        <v>70</v>
      </c>
    </row>
    <row r="58" spans="1:18" x14ac:dyDescent="0.25">
      <c r="C58" s="51" t="s">
        <v>183</v>
      </c>
      <c r="D58" s="94">
        <f>+'POBLACION DEMANDANTE POTENCIAL'!D81*80%</f>
        <v>52.800000000000004</v>
      </c>
      <c r="E58" s="94">
        <f>ROUND(($D$58*(1+$A$7)^(E54-$D$54)),0)</f>
        <v>53</v>
      </c>
      <c r="F58" s="128">
        <f>ROUND(($D$58*(1+$A$7)^(F54-$D$54)),0)</f>
        <v>53</v>
      </c>
      <c r="G58" s="189">
        <f t="shared" ref="G58:P58" si="32">ROUND(($D$58*(1+$A$7)^(G54-$D$54)),0)</f>
        <v>53</v>
      </c>
      <c r="H58" s="124">
        <f t="shared" si="32"/>
        <v>53</v>
      </c>
      <c r="I58" s="124">
        <f t="shared" si="32"/>
        <v>53</v>
      </c>
      <c r="J58" s="124">
        <f t="shared" si="32"/>
        <v>53</v>
      </c>
      <c r="K58" s="124">
        <f t="shared" si="32"/>
        <v>53</v>
      </c>
      <c r="L58" s="124">
        <f t="shared" si="32"/>
        <v>53</v>
      </c>
      <c r="M58" s="124">
        <f t="shared" si="32"/>
        <v>53</v>
      </c>
      <c r="N58" s="124">
        <f t="shared" si="32"/>
        <v>53</v>
      </c>
      <c r="O58" s="124">
        <f t="shared" si="32"/>
        <v>53</v>
      </c>
      <c r="P58" s="124">
        <f t="shared" si="32"/>
        <v>53</v>
      </c>
    </row>
    <row r="59" spans="1:18" x14ac:dyDescent="0.25">
      <c r="C59" s="51" t="s">
        <v>184</v>
      </c>
      <c r="D59" s="94">
        <f>+'POBLACION DEMANDANTE POTENCIAL'!D82*80%</f>
        <v>43.2</v>
      </c>
      <c r="E59" s="94">
        <f>ROUND(($D$59*(1+$A$7)^(E54-$D$54)),0)</f>
        <v>43</v>
      </c>
      <c r="F59" s="128">
        <f t="shared" ref="F59:P59" si="33">ROUND(($D$59*(1+$A$7)^(F54-$D$54)),0)</f>
        <v>43</v>
      </c>
      <c r="G59" s="189">
        <f t="shared" si="33"/>
        <v>43</v>
      </c>
      <c r="H59" s="124">
        <f t="shared" si="33"/>
        <v>43</v>
      </c>
      <c r="I59" s="124">
        <f t="shared" si="33"/>
        <v>43</v>
      </c>
      <c r="J59" s="124">
        <f t="shared" si="33"/>
        <v>43</v>
      </c>
      <c r="K59" s="124">
        <f t="shared" si="33"/>
        <v>43</v>
      </c>
      <c r="L59" s="124">
        <f t="shared" si="33"/>
        <v>43</v>
      </c>
      <c r="M59" s="124">
        <f t="shared" si="33"/>
        <v>43</v>
      </c>
      <c r="N59" s="124">
        <f t="shared" si="33"/>
        <v>43</v>
      </c>
      <c r="O59" s="124">
        <f t="shared" si="33"/>
        <v>43</v>
      </c>
      <c r="P59" s="124">
        <f t="shared" si="33"/>
        <v>43</v>
      </c>
    </row>
    <row r="60" spans="1:18" x14ac:dyDescent="0.25">
      <c r="C60" s="51" t="s">
        <v>185</v>
      </c>
      <c r="D60" s="94">
        <f>+'POBLACION DEMANDANTE POTENCIAL'!D83*80%</f>
        <v>36.800000000000004</v>
      </c>
      <c r="E60" s="94">
        <f>ROUND(($D$60*(1+$A$7)^(E54-$D$54)),0)</f>
        <v>37</v>
      </c>
      <c r="F60" s="128">
        <f t="shared" ref="F60:P60" si="34">ROUND(($D$60*(1+$A$7)^(F54-$D$54)),0)</f>
        <v>37</v>
      </c>
      <c r="G60" s="189">
        <f t="shared" si="34"/>
        <v>37</v>
      </c>
      <c r="H60" s="124">
        <f t="shared" si="34"/>
        <v>37</v>
      </c>
      <c r="I60" s="124">
        <f t="shared" si="34"/>
        <v>37</v>
      </c>
      <c r="J60" s="124">
        <f t="shared" si="34"/>
        <v>37</v>
      </c>
      <c r="K60" s="124">
        <f t="shared" si="34"/>
        <v>37</v>
      </c>
      <c r="L60" s="124">
        <f t="shared" si="34"/>
        <v>37</v>
      </c>
      <c r="M60" s="124">
        <f t="shared" si="34"/>
        <v>37</v>
      </c>
      <c r="N60" s="124">
        <f t="shared" si="34"/>
        <v>37</v>
      </c>
      <c r="O60" s="124">
        <f t="shared" si="34"/>
        <v>37</v>
      </c>
      <c r="P60" s="124">
        <f t="shared" si="34"/>
        <v>37</v>
      </c>
    </row>
    <row r="61" spans="1:18" x14ac:dyDescent="0.25">
      <c r="C61" s="109" t="s">
        <v>186</v>
      </c>
      <c r="D61" s="94">
        <f>+'POBLACION DEMANDANTE POTENCIAL'!D84*80%</f>
        <v>45.6</v>
      </c>
      <c r="E61" s="94">
        <f>ROUND(($D$61*(1+$A$7)^(E54-$D$54)),0)</f>
        <v>46</v>
      </c>
      <c r="F61" s="128">
        <f t="shared" ref="F61:P61" si="35">ROUND(($D$61*(1+$A$7)^(F54-$D$54)),0)</f>
        <v>46</v>
      </c>
      <c r="G61" s="190">
        <f t="shared" si="35"/>
        <v>46</v>
      </c>
      <c r="H61" s="191">
        <f t="shared" si="35"/>
        <v>46</v>
      </c>
      <c r="I61" s="191">
        <f t="shared" si="35"/>
        <v>46</v>
      </c>
      <c r="J61" s="191">
        <f t="shared" si="35"/>
        <v>46</v>
      </c>
      <c r="K61" s="191">
        <f t="shared" si="35"/>
        <v>46</v>
      </c>
      <c r="L61" s="191">
        <f t="shared" si="35"/>
        <v>46</v>
      </c>
      <c r="M61" s="191">
        <f t="shared" si="35"/>
        <v>46</v>
      </c>
      <c r="N61" s="191">
        <f t="shared" si="35"/>
        <v>46</v>
      </c>
      <c r="O61" s="191">
        <f t="shared" si="35"/>
        <v>46</v>
      </c>
      <c r="P61" s="191">
        <f t="shared" si="35"/>
        <v>46</v>
      </c>
    </row>
    <row r="62" spans="1:18" x14ac:dyDescent="0.25"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112"/>
      <c r="R62" s="112"/>
    </row>
    <row r="63" spans="1:18" x14ac:dyDescent="0.25"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12"/>
      <c r="R63" s="112"/>
    </row>
    <row r="64" spans="1:18" x14ac:dyDescent="0.25">
      <c r="C64" s="252" t="s">
        <v>38</v>
      </c>
      <c r="D64" s="249" t="s">
        <v>143</v>
      </c>
      <c r="E64" s="250"/>
      <c r="F64" s="251"/>
      <c r="G64" s="255" t="s">
        <v>39</v>
      </c>
      <c r="H64" s="255"/>
      <c r="I64" s="255"/>
      <c r="J64" s="255"/>
      <c r="K64" s="255"/>
      <c r="L64" s="255"/>
      <c r="M64" s="255"/>
      <c r="N64" s="255"/>
      <c r="O64" s="255"/>
      <c r="P64" s="255"/>
    </row>
    <row r="65" spans="2:18" x14ac:dyDescent="0.25">
      <c r="C65" s="253"/>
      <c r="D65" s="239">
        <v>0</v>
      </c>
      <c r="E65" s="239"/>
      <c r="F65" s="239"/>
      <c r="G65" s="24">
        <v>1</v>
      </c>
      <c r="H65" s="25">
        <v>2</v>
      </c>
      <c r="I65" s="25">
        <v>3</v>
      </c>
      <c r="J65" s="25">
        <v>4</v>
      </c>
      <c r="K65" s="25">
        <v>5</v>
      </c>
      <c r="L65" s="25">
        <v>6</v>
      </c>
      <c r="M65" s="25">
        <v>7</v>
      </c>
      <c r="N65" s="25">
        <v>8</v>
      </c>
      <c r="O65" s="25">
        <v>9</v>
      </c>
      <c r="P65" s="24">
        <v>10</v>
      </c>
    </row>
    <row r="66" spans="2:18" x14ac:dyDescent="0.25">
      <c r="C66" s="254"/>
      <c r="D66" s="95">
        <f>+D54</f>
        <v>2024</v>
      </c>
      <c r="E66" s="95">
        <f t="shared" ref="E66:P66" si="36">+E54</f>
        <v>2025</v>
      </c>
      <c r="F66" s="95">
        <f t="shared" si="36"/>
        <v>2026</v>
      </c>
      <c r="G66" s="95">
        <f t="shared" si="36"/>
        <v>2027</v>
      </c>
      <c r="H66" s="95">
        <f t="shared" si="36"/>
        <v>2028</v>
      </c>
      <c r="I66" s="95">
        <f t="shared" si="36"/>
        <v>2029</v>
      </c>
      <c r="J66" s="95">
        <f t="shared" si="36"/>
        <v>2030</v>
      </c>
      <c r="K66" s="95">
        <f t="shared" si="36"/>
        <v>2031</v>
      </c>
      <c r="L66" s="95">
        <f t="shared" si="36"/>
        <v>2032</v>
      </c>
      <c r="M66" s="95">
        <f t="shared" si="36"/>
        <v>2033</v>
      </c>
      <c r="N66" s="95">
        <f t="shared" si="36"/>
        <v>2034</v>
      </c>
      <c r="O66" s="95">
        <f t="shared" si="36"/>
        <v>2035</v>
      </c>
      <c r="P66" s="95">
        <f t="shared" si="36"/>
        <v>2036</v>
      </c>
    </row>
    <row r="67" spans="2:18" ht="26.25" customHeight="1" x14ac:dyDescent="0.25">
      <c r="C67" s="28" t="s">
        <v>383</v>
      </c>
      <c r="D67" s="98">
        <f>+SUM(D68:D73)</f>
        <v>291.20000000000005</v>
      </c>
      <c r="E67" s="98">
        <f t="shared" ref="E67:P67" si="37">+SUM(E68:E73)</f>
        <v>292</v>
      </c>
      <c r="F67" s="98">
        <f t="shared" si="37"/>
        <v>292</v>
      </c>
      <c r="G67" s="106">
        <f t="shared" si="37"/>
        <v>292</v>
      </c>
      <c r="H67" s="106">
        <f t="shared" si="37"/>
        <v>292</v>
      </c>
      <c r="I67" s="106">
        <f t="shared" si="37"/>
        <v>292</v>
      </c>
      <c r="J67" s="106">
        <f t="shared" si="37"/>
        <v>292</v>
      </c>
      <c r="K67" s="106">
        <f t="shared" si="37"/>
        <v>292</v>
      </c>
      <c r="L67" s="106">
        <f t="shared" si="37"/>
        <v>292</v>
      </c>
      <c r="M67" s="106">
        <f t="shared" si="37"/>
        <v>292</v>
      </c>
      <c r="N67" s="106">
        <f t="shared" si="37"/>
        <v>292</v>
      </c>
      <c r="O67" s="106">
        <f t="shared" si="37"/>
        <v>292</v>
      </c>
      <c r="P67" s="106">
        <f t="shared" si="37"/>
        <v>292</v>
      </c>
    </row>
    <row r="68" spans="2:18" x14ac:dyDescent="0.25">
      <c r="C68" s="105" t="s">
        <v>181</v>
      </c>
      <c r="D68" s="94">
        <f>+'POBLACION DEMANDANTE POTENCIAL'!D91*80%</f>
        <v>43.2</v>
      </c>
      <c r="E68" s="94">
        <f>ROUND(($D$68*(1+$A$7)^(E66-$D$66)),0)</f>
        <v>43</v>
      </c>
      <c r="F68" s="128">
        <f t="shared" ref="F68:P68" si="38">ROUND(($D$68*(1+$A$7)^(F66-$D$66)),0)</f>
        <v>43</v>
      </c>
      <c r="G68" s="192">
        <f t="shared" si="38"/>
        <v>43</v>
      </c>
      <c r="H68" s="193">
        <f>ROUND(($D$68*(1+$A$7)^(H66-$D$66)),0)</f>
        <v>43</v>
      </c>
      <c r="I68" s="193">
        <f>ROUND(($D$68*(1+$A$7)^(I66-$D$66)),0)</f>
        <v>43</v>
      </c>
      <c r="J68" s="193">
        <f t="shared" si="38"/>
        <v>43</v>
      </c>
      <c r="K68" s="193">
        <f t="shared" si="38"/>
        <v>43</v>
      </c>
      <c r="L68" s="193">
        <f t="shared" si="38"/>
        <v>43</v>
      </c>
      <c r="M68" s="193">
        <f t="shared" si="38"/>
        <v>43</v>
      </c>
      <c r="N68" s="193">
        <f t="shared" si="38"/>
        <v>43</v>
      </c>
      <c r="O68" s="193">
        <f t="shared" si="38"/>
        <v>43</v>
      </c>
      <c r="P68" s="193">
        <f t="shared" si="38"/>
        <v>43</v>
      </c>
    </row>
    <row r="69" spans="2:18" x14ac:dyDescent="0.25">
      <c r="C69" s="51" t="s">
        <v>182</v>
      </c>
      <c r="D69" s="94">
        <f>+'POBLACION DEMANDANTE POTENCIAL'!D92*80%</f>
        <v>69.600000000000009</v>
      </c>
      <c r="E69" s="94">
        <f>ROUND(($D$69*(1+$A$7)^(E66-$D$66)),0)</f>
        <v>70</v>
      </c>
      <c r="F69" s="128">
        <f t="shared" ref="F69:P69" si="39">ROUND(($D$69*(1+$A$7)^(F66-$D$66)),0)</f>
        <v>70</v>
      </c>
      <c r="G69" s="189">
        <f>ROUND(($D$69*(1+$A$7)^(G66-$D$66)),0)</f>
        <v>70</v>
      </c>
      <c r="H69" s="124">
        <f>ROUND(($D$69*(1+$A$7)^(H66-$D$66)),0)</f>
        <v>70</v>
      </c>
      <c r="I69" s="124">
        <f t="shared" si="39"/>
        <v>70</v>
      </c>
      <c r="J69" s="124">
        <f t="shared" si="39"/>
        <v>70</v>
      </c>
      <c r="K69" s="124">
        <f>ROUND(($D$69*(1+$A$7)^(K66-$D$66)),0)</f>
        <v>70</v>
      </c>
      <c r="L69" s="124">
        <f t="shared" si="39"/>
        <v>70</v>
      </c>
      <c r="M69" s="124">
        <f t="shared" si="39"/>
        <v>70</v>
      </c>
      <c r="N69" s="124">
        <f t="shared" si="39"/>
        <v>70</v>
      </c>
      <c r="O69" s="124">
        <f t="shared" si="39"/>
        <v>70</v>
      </c>
      <c r="P69" s="124">
        <f t="shared" si="39"/>
        <v>70</v>
      </c>
    </row>
    <row r="70" spans="2:18" x14ac:dyDescent="0.25">
      <c r="C70" s="51" t="s">
        <v>183</v>
      </c>
      <c r="D70" s="94">
        <f>+'POBLACION DEMANDANTE POTENCIAL'!D93*80%</f>
        <v>52.800000000000004</v>
      </c>
      <c r="E70" s="94">
        <f>ROUND(($D$70*(1+$A$7)^(E66-$D$66)),0)</f>
        <v>53</v>
      </c>
      <c r="F70" s="128">
        <f t="shared" ref="F70:P70" si="40">ROUND(($D$70*(1+$A$7)^(F66-$D$66)),0)</f>
        <v>53</v>
      </c>
      <c r="G70" s="189">
        <f t="shared" si="40"/>
        <v>53</v>
      </c>
      <c r="H70" s="124">
        <f t="shared" si="40"/>
        <v>53</v>
      </c>
      <c r="I70" s="124">
        <f t="shared" si="40"/>
        <v>53</v>
      </c>
      <c r="J70" s="124">
        <f t="shared" si="40"/>
        <v>53</v>
      </c>
      <c r="K70" s="124">
        <f t="shared" si="40"/>
        <v>53</v>
      </c>
      <c r="L70" s="124">
        <f t="shared" si="40"/>
        <v>53</v>
      </c>
      <c r="M70" s="124">
        <f t="shared" si="40"/>
        <v>53</v>
      </c>
      <c r="N70" s="124">
        <f t="shared" si="40"/>
        <v>53</v>
      </c>
      <c r="O70" s="124">
        <f t="shared" si="40"/>
        <v>53</v>
      </c>
      <c r="P70" s="124">
        <f t="shared" si="40"/>
        <v>53</v>
      </c>
    </row>
    <row r="71" spans="2:18" x14ac:dyDescent="0.25">
      <c r="C71" s="51" t="s">
        <v>184</v>
      </c>
      <c r="D71" s="94">
        <f>+'POBLACION DEMANDANTE POTENCIAL'!D94*80%</f>
        <v>43.2</v>
      </c>
      <c r="E71" s="94">
        <f>ROUND(($D$71*(1+$A$7)^(E66-$D$66)),0)</f>
        <v>43</v>
      </c>
      <c r="F71" s="128">
        <f t="shared" ref="F71:P71" si="41">ROUND(($D$71*(1+$A$7)^(F66-$D$66)),0)</f>
        <v>43</v>
      </c>
      <c r="G71" s="189">
        <f t="shared" si="41"/>
        <v>43</v>
      </c>
      <c r="H71" s="124">
        <f>ROUND(($D$71*(1+$A$7)^(H66-$D$66)),0)</f>
        <v>43</v>
      </c>
      <c r="I71" s="124">
        <f t="shared" si="41"/>
        <v>43</v>
      </c>
      <c r="J71" s="124">
        <f t="shared" si="41"/>
        <v>43</v>
      </c>
      <c r="K71" s="124">
        <f t="shared" si="41"/>
        <v>43</v>
      </c>
      <c r="L71" s="124">
        <f t="shared" si="41"/>
        <v>43</v>
      </c>
      <c r="M71" s="124">
        <f t="shared" si="41"/>
        <v>43</v>
      </c>
      <c r="N71" s="124">
        <f t="shared" si="41"/>
        <v>43</v>
      </c>
      <c r="O71" s="124">
        <f t="shared" si="41"/>
        <v>43</v>
      </c>
      <c r="P71" s="124">
        <f t="shared" si="41"/>
        <v>43</v>
      </c>
    </row>
    <row r="72" spans="2:18" x14ac:dyDescent="0.25">
      <c r="C72" s="51" t="s">
        <v>185</v>
      </c>
      <c r="D72" s="94">
        <f>+'POBLACION DEMANDANTE POTENCIAL'!D95*80%</f>
        <v>36.800000000000004</v>
      </c>
      <c r="E72" s="94">
        <f>ROUND(($D$72*(1+$A$7)^(E66-$D$66)),0)</f>
        <v>37</v>
      </c>
      <c r="F72" s="128">
        <f t="shared" ref="F72:P72" si="42">ROUND(($D$72*(1+$A$7)^(F66-$D$66)),0)</f>
        <v>37</v>
      </c>
      <c r="G72" s="189">
        <f t="shared" si="42"/>
        <v>37</v>
      </c>
      <c r="H72" s="124">
        <f t="shared" si="42"/>
        <v>37</v>
      </c>
      <c r="I72" s="124">
        <f>ROUND(($D$72*(1+$A$7)^(I66-$D$66)),0)</f>
        <v>37</v>
      </c>
      <c r="J72" s="124">
        <f t="shared" si="42"/>
        <v>37</v>
      </c>
      <c r="K72" s="124">
        <f t="shared" si="42"/>
        <v>37</v>
      </c>
      <c r="L72" s="124">
        <f t="shared" si="42"/>
        <v>37</v>
      </c>
      <c r="M72" s="124">
        <f t="shared" si="42"/>
        <v>37</v>
      </c>
      <c r="N72" s="124">
        <f t="shared" si="42"/>
        <v>37</v>
      </c>
      <c r="O72" s="124">
        <f t="shared" si="42"/>
        <v>37</v>
      </c>
      <c r="P72" s="124">
        <f t="shared" si="42"/>
        <v>37</v>
      </c>
    </row>
    <row r="73" spans="2:18" x14ac:dyDescent="0.25">
      <c r="C73" s="109" t="s">
        <v>186</v>
      </c>
      <c r="D73" s="94">
        <f>+'POBLACION DEMANDANTE POTENCIAL'!D96*80%</f>
        <v>45.6</v>
      </c>
      <c r="E73" s="94">
        <f t="shared" ref="E73:K73" si="43">ROUND(($D$73*(1+$A$7)^(E66-$D$66)),0)</f>
        <v>46</v>
      </c>
      <c r="F73" s="128">
        <f t="shared" si="43"/>
        <v>46</v>
      </c>
      <c r="G73" s="190">
        <f t="shared" si="43"/>
        <v>46</v>
      </c>
      <c r="H73" s="191">
        <f t="shared" si="43"/>
        <v>46</v>
      </c>
      <c r="I73" s="191">
        <f t="shared" si="43"/>
        <v>46</v>
      </c>
      <c r="J73" s="191">
        <f t="shared" si="43"/>
        <v>46</v>
      </c>
      <c r="K73" s="191">
        <f t="shared" si="43"/>
        <v>46</v>
      </c>
      <c r="L73" s="191">
        <f t="shared" ref="L73:P73" si="44">ROUND(($D$73*(1+$A$7)^(L66-$D$66)),0)</f>
        <v>46</v>
      </c>
      <c r="M73" s="191">
        <f t="shared" si="44"/>
        <v>46</v>
      </c>
      <c r="N73" s="191">
        <f t="shared" si="44"/>
        <v>46</v>
      </c>
      <c r="O73" s="191">
        <f t="shared" si="44"/>
        <v>46</v>
      </c>
      <c r="P73" s="191">
        <f t="shared" si="44"/>
        <v>46</v>
      </c>
    </row>
    <row r="74" spans="2:18" x14ac:dyDescent="0.25"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</row>
    <row r="75" spans="2:18" x14ac:dyDescent="0.25">
      <c r="C75" s="252" t="s">
        <v>38</v>
      </c>
      <c r="D75" s="249" t="s">
        <v>143</v>
      </c>
      <c r="E75" s="250"/>
      <c r="F75" s="251"/>
      <c r="G75" s="255" t="s">
        <v>39</v>
      </c>
      <c r="H75" s="255"/>
      <c r="I75" s="255"/>
      <c r="J75" s="255"/>
      <c r="K75" s="255"/>
      <c r="L75" s="255"/>
      <c r="M75" s="255"/>
      <c r="N75" s="255"/>
      <c r="O75" s="255"/>
      <c r="P75" s="255"/>
    </row>
    <row r="76" spans="2:18" x14ac:dyDescent="0.25">
      <c r="C76" s="253"/>
      <c r="D76" s="239">
        <v>0</v>
      </c>
      <c r="E76" s="239"/>
      <c r="F76" s="239"/>
      <c r="G76" s="24">
        <v>1</v>
      </c>
      <c r="H76" s="25">
        <v>2</v>
      </c>
      <c r="I76" s="25">
        <v>3</v>
      </c>
      <c r="J76" s="25">
        <v>4</v>
      </c>
      <c r="K76" s="25">
        <v>5</v>
      </c>
      <c r="L76" s="25">
        <v>6</v>
      </c>
      <c r="M76" s="25">
        <v>7</v>
      </c>
      <c r="N76" s="25">
        <v>8</v>
      </c>
      <c r="O76" s="25">
        <v>9</v>
      </c>
      <c r="P76" s="24">
        <v>10</v>
      </c>
    </row>
    <row r="77" spans="2:18" x14ac:dyDescent="0.25">
      <c r="C77" s="254"/>
      <c r="D77" s="95">
        <f>+D66</f>
        <v>2024</v>
      </c>
      <c r="E77" s="95">
        <f t="shared" ref="E77:P77" si="45">+E66</f>
        <v>2025</v>
      </c>
      <c r="F77" s="95">
        <f t="shared" si="45"/>
        <v>2026</v>
      </c>
      <c r="G77" s="95">
        <f t="shared" si="45"/>
        <v>2027</v>
      </c>
      <c r="H77" s="95">
        <f t="shared" si="45"/>
        <v>2028</v>
      </c>
      <c r="I77" s="95">
        <f t="shared" si="45"/>
        <v>2029</v>
      </c>
      <c r="J77" s="95">
        <f t="shared" si="45"/>
        <v>2030</v>
      </c>
      <c r="K77" s="95">
        <f t="shared" si="45"/>
        <v>2031</v>
      </c>
      <c r="L77" s="95">
        <f t="shared" si="45"/>
        <v>2032</v>
      </c>
      <c r="M77" s="95">
        <f t="shared" si="45"/>
        <v>2033</v>
      </c>
      <c r="N77" s="95">
        <f t="shared" si="45"/>
        <v>2034</v>
      </c>
      <c r="O77" s="95">
        <f t="shared" si="45"/>
        <v>2035</v>
      </c>
      <c r="P77" s="95">
        <f t="shared" si="45"/>
        <v>2036</v>
      </c>
    </row>
    <row r="78" spans="2:18" ht="27.75" customHeight="1" x14ac:dyDescent="0.25">
      <c r="C78" s="28" t="s">
        <v>243</v>
      </c>
      <c r="D78" s="98">
        <f>+SUM(D79:D84)</f>
        <v>31.200000000000003</v>
      </c>
      <c r="E78" s="98">
        <f>+SUM(E79:E84)</f>
        <v>32</v>
      </c>
      <c r="F78" s="98">
        <f t="shared" ref="F78:P78" si="46">+SUM(F79:F84)</f>
        <v>32</v>
      </c>
      <c r="G78" s="106">
        <f t="shared" si="46"/>
        <v>32</v>
      </c>
      <c r="H78" s="106">
        <f t="shared" si="46"/>
        <v>32</v>
      </c>
      <c r="I78" s="106">
        <f t="shared" si="46"/>
        <v>32</v>
      </c>
      <c r="J78" s="106">
        <f t="shared" si="46"/>
        <v>32</v>
      </c>
      <c r="K78" s="106">
        <f t="shared" si="46"/>
        <v>32</v>
      </c>
      <c r="L78" s="106">
        <f t="shared" si="46"/>
        <v>32</v>
      </c>
      <c r="M78" s="106">
        <f t="shared" si="46"/>
        <v>32</v>
      </c>
      <c r="N78" s="106">
        <f t="shared" si="46"/>
        <v>32</v>
      </c>
      <c r="O78" s="106">
        <f t="shared" si="46"/>
        <v>32</v>
      </c>
      <c r="P78" s="106">
        <f t="shared" si="46"/>
        <v>32</v>
      </c>
    </row>
    <row r="79" spans="2:18" x14ac:dyDescent="0.25">
      <c r="C79" s="105" t="s">
        <v>187</v>
      </c>
      <c r="D79" s="94">
        <f>+'POBLACION DEMANDANTE POTENCIAL'!D102*80%</f>
        <v>5.6000000000000005</v>
      </c>
      <c r="E79" s="94">
        <f>ROUND(($D$79*(1+$A$7)^(E77-$D$77)),0)</f>
        <v>6</v>
      </c>
      <c r="F79" s="128">
        <f>ROUND(($D$79*(1+$A$7)^(F77-$D$77)),0)</f>
        <v>6</v>
      </c>
      <c r="G79" s="192">
        <f>ROUND(($D$79*(1+$A$7)^(G77-$D$77)),0)</f>
        <v>6</v>
      </c>
      <c r="H79" s="193">
        <f>ROUND(($D$79*(1+$A$7)^(H77-$D$77)),0)</f>
        <v>6</v>
      </c>
      <c r="I79" s="193">
        <f t="shared" ref="I79:P79" si="47">ROUND(($D$79*(1+$A$7)^(I77-$D$77)),0)</f>
        <v>6</v>
      </c>
      <c r="J79" s="193">
        <f t="shared" si="47"/>
        <v>6</v>
      </c>
      <c r="K79" s="193">
        <f t="shared" si="47"/>
        <v>6</v>
      </c>
      <c r="L79" s="193">
        <f t="shared" si="47"/>
        <v>6</v>
      </c>
      <c r="M79" s="193">
        <f t="shared" si="47"/>
        <v>6</v>
      </c>
      <c r="N79" s="193">
        <f t="shared" si="47"/>
        <v>6</v>
      </c>
      <c r="O79" s="193">
        <f t="shared" si="47"/>
        <v>6</v>
      </c>
      <c r="P79" s="193">
        <f t="shared" si="47"/>
        <v>6</v>
      </c>
    </row>
    <row r="80" spans="2:18" x14ac:dyDescent="0.25">
      <c r="C80" s="51" t="s">
        <v>150</v>
      </c>
      <c r="D80" s="94">
        <f>+'POBLACION DEMANDANTE POTENCIAL'!D103*80%</f>
        <v>7.2</v>
      </c>
      <c r="E80" s="94">
        <f>ROUND(($D$80*(1+$A$7)^(E77-$D$77)),0)</f>
        <v>7</v>
      </c>
      <c r="F80" s="128">
        <f t="shared" ref="F80:P80" si="48">ROUND(($D$80*(1+$A$7)^(F77-$D$77)),0)</f>
        <v>7</v>
      </c>
      <c r="G80" s="189">
        <f>ROUND(($D$80*(1+$A$7)^(G77-$D$77)),0)</f>
        <v>7</v>
      </c>
      <c r="H80" s="124">
        <f>ROUND(($D$80*(1+$A$7)^(H77-$D$77)),0)</f>
        <v>7</v>
      </c>
      <c r="I80" s="124">
        <f>ROUND(($D$80*(1+$A$7)^(I77-$D$77)),0)</f>
        <v>7</v>
      </c>
      <c r="J80" s="124">
        <f>ROUND(($D$80*(1+$A$7)^(J77-$D$77)),0)</f>
        <v>7</v>
      </c>
      <c r="K80" s="124">
        <f t="shared" si="48"/>
        <v>7</v>
      </c>
      <c r="L80" s="124">
        <f t="shared" si="48"/>
        <v>7</v>
      </c>
      <c r="M80" s="124">
        <f t="shared" si="48"/>
        <v>7</v>
      </c>
      <c r="N80" s="124">
        <f t="shared" si="48"/>
        <v>7</v>
      </c>
      <c r="O80" s="124">
        <f t="shared" si="48"/>
        <v>7</v>
      </c>
      <c r="P80" s="124">
        <f t="shared" si="48"/>
        <v>7</v>
      </c>
    </row>
    <row r="81" spans="2:18" x14ac:dyDescent="0.25">
      <c r="C81" s="51" t="s">
        <v>188</v>
      </c>
      <c r="D81" s="94">
        <f>+'POBLACION DEMANDANTE POTENCIAL'!D104*80%</f>
        <v>5.6000000000000005</v>
      </c>
      <c r="E81" s="94">
        <f>ROUND(($D$81*(1+$A$7)^(E77-$D$77)),0)</f>
        <v>6</v>
      </c>
      <c r="F81" s="128">
        <f t="shared" ref="F81:P81" si="49">ROUND(($D$81*(1+$A$7)^(F77-$D$77)),0)</f>
        <v>6</v>
      </c>
      <c r="G81" s="189">
        <f t="shared" si="49"/>
        <v>6</v>
      </c>
      <c r="H81" s="124">
        <f t="shared" si="49"/>
        <v>6</v>
      </c>
      <c r="I81" s="124">
        <f t="shared" si="49"/>
        <v>6</v>
      </c>
      <c r="J81" s="124">
        <f t="shared" si="49"/>
        <v>6</v>
      </c>
      <c r="K81" s="124">
        <f t="shared" si="49"/>
        <v>6</v>
      </c>
      <c r="L81" s="124">
        <f t="shared" si="49"/>
        <v>6</v>
      </c>
      <c r="M81" s="124">
        <f t="shared" si="49"/>
        <v>6</v>
      </c>
      <c r="N81" s="124">
        <f t="shared" si="49"/>
        <v>6</v>
      </c>
      <c r="O81" s="124">
        <f t="shared" si="49"/>
        <v>6</v>
      </c>
      <c r="P81" s="124">
        <f t="shared" si="49"/>
        <v>6</v>
      </c>
    </row>
    <row r="82" spans="2:18" x14ac:dyDescent="0.25">
      <c r="C82" s="51" t="s">
        <v>189</v>
      </c>
      <c r="D82" s="94">
        <f>+'POBLACION DEMANDANTE POTENCIAL'!D105*80%</f>
        <v>4</v>
      </c>
      <c r="E82" s="94">
        <f>ROUND(($D$82*(1+$A$7)^(E77-$D$77)),0)</f>
        <v>4</v>
      </c>
      <c r="F82" s="128">
        <f t="shared" ref="F82:P82" si="50">ROUND(($D$82*(1+$A$7)^(F77-$D$77)),0)</f>
        <v>4</v>
      </c>
      <c r="G82" s="189">
        <f t="shared" si="50"/>
        <v>4</v>
      </c>
      <c r="H82" s="124">
        <f>ROUND(($D$82*(1+$A$7)^(H77-$D$77)),0)</f>
        <v>4</v>
      </c>
      <c r="I82" s="124">
        <f t="shared" si="50"/>
        <v>4</v>
      </c>
      <c r="J82" s="124">
        <f t="shared" si="50"/>
        <v>4</v>
      </c>
      <c r="K82" s="124">
        <f t="shared" si="50"/>
        <v>4</v>
      </c>
      <c r="L82" s="124">
        <f t="shared" si="50"/>
        <v>4</v>
      </c>
      <c r="M82" s="124">
        <f t="shared" si="50"/>
        <v>4</v>
      </c>
      <c r="N82" s="124">
        <f t="shared" si="50"/>
        <v>4</v>
      </c>
      <c r="O82" s="124">
        <f t="shared" si="50"/>
        <v>4</v>
      </c>
      <c r="P82" s="124">
        <f t="shared" si="50"/>
        <v>4</v>
      </c>
    </row>
    <row r="83" spans="2:18" x14ac:dyDescent="0.25">
      <c r="C83" s="51" t="s">
        <v>220</v>
      </c>
      <c r="D83" s="94">
        <f>+'POBLACION DEMANDANTE POTENCIAL'!D106*80%</f>
        <v>4.8000000000000007</v>
      </c>
      <c r="E83" s="94">
        <f>ROUND(($D$83*(1+$A$7)^(E77-$D$77)),0)</f>
        <v>5</v>
      </c>
      <c r="F83" s="128">
        <f>ROUND(($D$83*(1+$A$7)^(F77-$D$77)),0)</f>
        <v>5</v>
      </c>
      <c r="G83" s="189">
        <f>ROUND(($D$83*(1+$A$7)^(G77-$D$77)),0)</f>
        <v>5</v>
      </c>
      <c r="H83" s="124">
        <f>ROUND(($D$83*(1+$A$7)^(H77-$D$77)),0)</f>
        <v>5</v>
      </c>
      <c r="I83" s="124">
        <f t="shared" ref="I83:P83" si="51">ROUND(($D$83*(1+$A$7)^(I77-$D$77)),0)</f>
        <v>5</v>
      </c>
      <c r="J83" s="124">
        <f t="shared" si="51"/>
        <v>5</v>
      </c>
      <c r="K83" s="124">
        <f t="shared" si="51"/>
        <v>5</v>
      </c>
      <c r="L83" s="124">
        <f t="shared" si="51"/>
        <v>5</v>
      </c>
      <c r="M83" s="124">
        <f t="shared" si="51"/>
        <v>5</v>
      </c>
      <c r="N83" s="124">
        <f t="shared" si="51"/>
        <v>5</v>
      </c>
      <c r="O83" s="124">
        <f t="shared" si="51"/>
        <v>5</v>
      </c>
      <c r="P83" s="124">
        <f t="shared" si="51"/>
        <v>5</v>
      </c>
    </row>
    <row r="84" spans="2:18" x14ac:dyDescent="0.25">
      <c r="C84" s="109" t="s">
        <v>221</v>
      </c>
      <c r="D84" s="94">
        <f>+'POBLACION DEMANDANTE POTENCIAL'!D107*80%</f>
        <v>4</v>
      </c>
      <c r="E84" s="94">
        <f>ROUND(($D$84*(1+$A$7)^(E77-$D$77)),0)</f>
        <v>4</v>
      </c>
      <c r="F84" s="128">
        <f>ROUND(($D$84*(1+$A$7)^(F77-$D$77)),0)</f>
        <v>4</v>
      </c>
      <c r="G84" s="190">
        <f>ROUND(($D$84*(1+$A$7)^(G77-$D$77)),0)</f>
        <v>4</v>
      </c>
      <c r="H84" s="191">
        <f>ROUND(($D$84*(1+$A$7)^(H77-$D$77)),0)</f>
        <v>4</v>
      </c>
      <c r="I84" s="191">
        <f t="shared" ref="I84:P84" si="52">ROUND(($D$84*(1+$A$7)^(I77-$D$77)),0)</f>
        <v>4</v>
      </c>
      <c r="J84" s="191">
        <f t="shared" si="52"/>
        <v>4</v>
      </c>
      <c r="K84" s="191">
        <f t="shared" si="52"/>
        <v>4</v>
      </c>
      <c r="L84" s="191">
        <f t="shared" si="52"/>
        <v>4</v>
      </c>
      <c r="M84" s="191">
        <f t="shared" si="52"/>
        <v>4</v>
      </c>
      <c r="N84" s="191">
        <f t="shared" si="52"/>
        <v>4</v>
      </c>
      <c r="O84" s="191">
        <f t="shared" si="52"/>
        <v>4</v>
      </c>
      <c r="P84" s="191">
        <f t="shared" si="52"/>
        <v>4</v>
      </c>
    </row>
    <row r="85" spans="2:18" x14ac:dyDescent="0.25"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</row>
    <row r="86" spans="2:18" x14ac:dyDescent="0.25">
      <c r="B86" s="112"/>
      <c r="C86" s="239" t="s">
        <v>24</v>
      </c>
      <c r="D86" s="249" t="s">
        <v>143</v>
      </c>
      <c r="E86" s="250"/>
      <c r="F86" s="251"/>
      <c r="G86" s="255" t="s">
        <v>39</v>
      </c>
      <c r="H86" s="255"/>
      <c r="I86" s="255"/>
      <c r="J86" s="255"/>
      <c r="K86" s="255"/>
      <c r="L86" s="255"/>
      <c r="M86" s="255"/>
      <c r="N86" s="255"/>
      <c r="O86" s="255"/>
      <c r="P86" s="255"/>
      <c r="Q86" s="112"/>
      <c r="R86" s="112"/>
    </row>
    <row r="87" spans="2:18" x14ac:dyDescent="0.25">
      <c r="B87" s="112"/>
      <c r="C87" s="239"/>
      <c r="D87" s="259">
        <v>0</v>
      </c>
      <c r="E87" s="260"/>
      <c r="F87" s="261"/>
      <c r="G87" s="24">
        <v>1</v>
      </c>
      <c r="H87" s="24">
        <v>2</v>
      </c>
      <c r="I87" s="24">
        <v>3</v>
      </c>
      <c r="J87" s="24">
        <v>4</v>
      </c>
      <c r="K87" s="24">
        <v>5</v>
      </c>
      <c r="L87" s="24">
        <v>6</v>
      </c>
      <c r="M87" s="24">
        <v>7</v>
      </c>
      <c r="N87" s="24">
        <v>8</v>
      </c>
      <c r="O87" s="24">
        <v>9</v>
      </c>
      <c r="P87" s="24">
        <v>10</v>
      </c>
      <c r="Q87" s="112"/>
      <c r="R87" s="112"/>
    </row>
    <row r="88" spans="2:18" x14ac:dyDescent="0.25">
      <c r="B88" s="112"/>
      <c r="C88" s="239"/>
      <c r="D88" s="20">
        <v>2024</v>
      </c>
      <c r="E88" s="20">
        <v>2025</v>
      </c>
      <c r="F88" s="20">
        <v>2026</v>
      </c>
      <c r="G88" s="20">
        <v>2027</v>
      </c>
      <c r="H88" s="20">
        <v>2028</v>
      </c>
      <c r="I88" s="20">
        <v>2029</v>
      </c>
      <c r="J88" s="20">
        <v>2030</v>
      </c>
      <c r="K88" s="20">
        <v>2031</v>
      </c>
      <c r="L88" s="20">
        <v>2032</v>
      </c>
      <c r="M88" s="20">
        <v>2033</v>
      </c>
      <c r="N88" s="20">
        <v>2034</v>
      </c>
      <c r="O88" s="20">
        <v>2035</v>
      </c>
      <c r="P88" s="20">
        <v>2036</v>
      </c>
      <c r="Q88" s="112"/>
      <c r="R88" s="112"/>
    </row>
    <row r="89" spans="2:18" x14ac:dyDescent="0.25">
      <c r="B89" s="112"/>
      <c r="C89" s="115" t="s">
        <v>190</v>
      </c>
      <c r="D89" s="97">
        <f>SUM(D90:D95)</f>
        <v>291.20000000000005</v>
      </c>
      <c r="E89" s="97">
        <f>SUM(E90:E95)</f>
        <v>292</v>
      </c>
      <c r="F89" s="97">
        <f>SUM(F90:F95)</f>
        <v>292</v>
      </c>
      <c r="G89" s="97">
        <f t="shared" ref="G89:P89" si="53">SUM(G90:G95)</f>
        <v>292</v>
      </c>
      <c r="H89" s="97">
        <f t="shared" si="53"/>
        <v>292</v>
      </c>
      <c r="I89" s="97">
        <f t="shared" si="53"/>
        <v>292</v>
      </c>
      <c r="J89" s="97">
        <f t="shared" si="53"/>
        <v>292</v>
      </c>
      <c r="K89" s="97">
        <f t="shared" si="53"/>
        <v>292</v>
      </c>
      <c r="L89" s="97">
        <f t="shared" si="53"/>
        <v>292</v>
      </c>
      <c r="M89" s="97">
        <f t="shared" si="53"/>
        <v>292</v>
      </c>
      <c r="N89" s="97">
        <f t="shared" si="53"/>
        <v>292</v>
      </c>
      <c r="O89" s="97">
        <f t="shared" si="53"/>
        <v>292</v>
      </c>
      <c r="P89" s="97">
        <f t="shared" si="53"/>
        <v>292</v>
      </c>
      <c r="Q89" s="112"/>
      <c r="R89" s="112"/>
    </row>
    <row r="90" spans="2:18" x14ac:dyDescent="0.25">
      <c r="B90" s="112"/>
      <c r="C90" s="105" t="s">
        <v>181</v>
      </c>
      <c r="D90" s="96">
        <f>+'POBLACION DEMANDANTE POTENCIAL'!D113*80%</f>
        <v>43.2</v>
      </c>
      <c r="E90" s="96">
        <f>ROUND(($D$90*(1+$A$7)^(E88-$D$88)),0)</f>
        <v>43</v>
      </c>
      <c r="F90" s="118">
        <f>ROUND(($D$90*(1+$A$7)^(F88-$D$88)),0)</f>
        <v>43</v>
      </c>
      <c r="G90" s="187">
        <f t="shared" ref="G90:P90" si="54">ROUND(($D$90*(1+$A$7)^(G88-$D$88)),0)</f>
        <v>43</v>
      </c>
      <c r="H90" s="186">
        <f t="shared" si="54"/>
        <v>43</v>
      </c>
      <c r="I90" s="186">
        <f t="shared" si="54"/>
        <v>43</v>
      </c>
      <c r="J90" s="186">
        <f t="shared" si="54"/>
        <v>43</v>
      </c>
      <c r="K90" s="186">
        <f t="shared" si="54"/>
        <v>43</v>
      </c>
      <c r="L90" s="186">
        <f t="shared" si="54"/>
        <v>43</v>
      </c>
      <c r="M90" s="186">
        <f t="shared" si="54"/>
        <v>43</v>
      </c>
      <c r="N90" s="186">
        <f t="shared" si="54"/>
        <v>43</v>
      </c>
      <c r="O90" s="186">
        <f t="shared" si="54"/>
        <v>43</v>
      </c>
      <c r="P90" s="186">
        <f t="shared" si="54"/>
        <v>43</v>
      </c>
      <c r="Q90" s="112"/>
      <c r="R90" s="112"/>
    </row>
    <row r="91" spans="2:18" x14ac:dyDescent="0.25">
      <c r="B91" s="112"/>
      <c r="C91" s="51" t="s">
        <v>182</v>
      </c>
      <c r="D91" s="96">
        <f>+'POBLACION DEMANDANTE POTENCIAL'!D114*80%</f>
        <v>69.600000000000009</v>
      </c>
      <c r="E91" s="96">
        <f>ROUND(($D$91*(1+$A$7)^(E88-$D$88)),0)</f>
        <v>70</v>
      </c>
      <c r="F91" s="118">
        <f t="shared" ref="F91:P91" si="55">ROUND(($D$91*(1+$A$7)^(F88-$D$88)),0)</f>
        <v>70</v>
      </c>
      <c r="G91" s="185">
        <f t="shared" si="55"/>
        <v>70</v>
      </c>
      <c r="H91" s="122">
        <f t="shared" si="55"/>
        <v>70</v>
      </c>
      <c r="I91" s="122">
        <f t="shared" si="55"/>
        <v>70</v>
      </c>
      <c r="J91" s="122">
        <f t="shared" si="55"/>
        <v>70</v>
      </c>
      <c r="K91" s="122">
        <f t="shared" si="55"/>
        <v>70</v>
      </c>
      <c r="L91" s="122">
        <f t="shared" si="55"/>
        <v>70</v>
      </c>
      <c r="M91" s="122">
        <f t="shared" si="55"/>
        <v>70</v>
      </c>
      <c r="N91" s="122">
        <f t="shared" si="55"/>
        <v>70</v>
      </c>
      <c r="O91" s="122">
        <f t="shared" si="55"/>
        <v>70</v>
      </c>
      <c r="P91" s="122">
        <f t="shared" si="55"/>
        <v>70</v>
      </c>
      <c r="Q91" s="112"/>
      <c r="R91" s="112"/>
    </row>
    <row r="92" spans="2:18" x14ac:dyDescent="0.25">
      <c r="B92" s="112"/>
      <c r="C92" s="51" t="s">
        <v>183</v>
      </c>
      <c r="D92" s="96">
        <f>+'POBLACION DEMANDANTE POTENCIAL'!D115*80%</f>
        <v>52.800000000000004</v>
      </c>
      <c r="E92" s="96">
        <f>ROUND(($D$92*(1+$A$7)^(E88-$D$88)),0)</f>
        <v>53</v>
      </c>
      <c r="F92" s="118">
        <f t="shared" ref="F92:P92" si="56">ROUND(($D$92*(1+$A$7)^(F88-$D$88)),0)</f>
        <v>53</v>
      </c>
      <c r="G92" s="185">
        <f t="shared" si="56"/>
        <v>53</v>
      </c>
      <c r="H92" s="122">
        <f t="shared" si="56"/>
        <v>53</v>
      </c>
      <c r="I92" s="122">
        <f t="shared" si="56"/>
        <v>53</v>
      </c>
      <c r="J92" s="122">
        <f t="shared" si="56"/>
        <v>53</v>
      </c>
      <c r="K92" s="122">
        <f t="shared" si="56"/>
        <v>53</v>
      </c>
      <c r="L92" s="122">
        <f t="shared" si="56"/>
        <v>53</v>
      </c>
      <c r="M92" s="122">
        <f t="shared" si="56"/>
        <v>53</v>
      </c>
      <c r="N92" s="122">
        <f t="shared" si="56"/>
        <v>53</v>
      </c>
      <c r="O92" s="122">
        <f t="shared" si="56"/>
        <v>53</v>
      </c>
      <c r="P92" s="122">
        <f t="shared" si="56"/>
        <v>53</v>
      </c>
      <c r="Q92" s="112"/>
      <c r="R92" s="112"/>
    </row>
    <row r="93" spans="2:18" x14ac:dyDescent="0.25">
      <c r="B93" s="112"/>
      <c r="C93" s="51" t="s">
        <v>184</v>
      </c>
      <c r="D93" s="96">
        <f>+'POBLACION DEMANDANTE POTENCIAL'!D116*80%</f>
        <v>43.2</v>
      </c>
      <c r="E93" s="96">
        <f t="shared" ref="E93:P93" si="57">ROUND(($D$93*(1+$A$7)^(E88-$D$88)),0)</f>
        <v>43</v>
      </c>
      <c r="F93" s="118">
        <f t="shared" si="57"/>
        <v>43</v>
      </c>
      <c r="G93" s="185">
        <f t="shared" si="57"/>
        <v>43</v>
      </c>
      <c r="H93" s="122">
        <f t="shared" si="57"/>
        <v>43</v>
      </c>
      <c r="I93" s="122">
        <f t="shared" si="57"/>
        <v>43</v>
      </c>
      <c r="J93" s="122">
        <f t="shared" si="57"/>
        <v>43</v>
      </c>
      <c r="K93" s="122">
        <f t="shared" si="57"/>
        <v>43</v>
      </c>
      <c r="L93" s="122">
        <f t="shared" si="57"/>
        <v>43</v>
      </c>
      <c r="M93" s="122">
        <f t="shared" si="57"/>
        <v>43</v>
      </c>
      <c r="N93" s="122">
        <f t="shared" si="57"/>
        <v>43</v>
      </c>
      <c r="O93" s="122">
        <f t="shared" si="57"/>
        <v>43</v>
      </c>
      <c r="P93" s="122">
        <f t="shared" si="57"/>
        <v>43</v>
      </c>
      <c r="Q93" s="112"/>
      <c r="R93" s="112"/>
    </row>
    <row r="94" spans="2:18" x14ac:dyDescent="0.25">
      <c r="B94" s="112"/>
      <c r="C94" s="51" t="s">
        <v>185</v>
      </c>
      <c r="D94" s="96">
        <f>+'POBLACION DEMANDANTE POTENCIAL'!D117*80%</f>
        <v>36.800000000000004</v>
      </c>
      <c r="E94" s="96">
        <f>ROUND(($D$94*(1+$A$7)^(E88-$D$88)),0)</f>
        <v>37</v>
      </c>
      <c r="F94" s="118">
        <f>ROUND(($D$94*(1+$A$7)^(F88-$D$88)),0)</f>
        <v>37</v>
      </c>
      <c r="G94" s="185">
        <f>ROUND(($D$94*(1+$A$7)^(G88-$D$88)),0)</f>
        <v>37</v>
      </c>
      <c r="H94" s="122">
        <f t="shared" ref="H94:P94" si="58">ROUND(($D$94*(1+$A$7)^(H88-$D$88)),0)</f>
        <v>37</v>
      </c>
      <c r="I94" s="122">
        <f t="shared" si="58"/>
        <v>37</v>
      </c>
      <c r="J94" s="122">
        <f t="shared" si="58"/>
        <v>37</v>
      </c>
      <c r="K94" s="122">
        <f t="shared" si="58"/>
        <v>37</v>
      </c>
      <c r="L94" s="122">
        <f t="shared" si="58"/>
        <v>37</v>
      </c>
      <c r="M94" s="122">
        <f t="shared" si="58"/>
        <v>37</v>
      </c>
      <c r="N94" s="122">
        <f t="shared" si="58"/>
        <v>37</v>
      </c>
      <c r="O94" s="122">
        <f t="shared" si="58"/>
        <v>37</v>
      </c>
      <c r="P94" s="122">
        <f t="shared" si="58"/>
        <v>37</v>
      </c>
      <c r="Q94" s="112"/>
      <c r="R94" s="112"/>
    </row>
    <row r="95" spans="2:18" x14ac:dyDescent="0.25">
      <c r="B95" s="112"/>
      <c r="C95" s="109" t="s">
        <v>186</v>
      </c>
      <c r="D95" s="96">
        <f>+'POBLACION DEMANDANTE POTENCIAL'!D118*80%</f>
        <v>45.6</v>
      </c>
      <c r="E95" s="96">
        <f>ROUND(($D$95*(1+$A$7)^(E88-$D$88)),0)</f>
        <v>46</v>
      </c>
      <c r="F95" s="118">
        <f>ROUND(($D$95*(1+$A$7)^(F88-$D$88)),0)</f>
        <v>46</v>
      </c>
      <c r="G95" s="179">
        <f>ROUND(($D$95*(1+$A$7)^(G88-$D$88)),0)</f>
        <v>46</v>
      </c>
      <c r="H95" s="184">
        <f t="shared" ref="H95:P95" si="59">ROUND(($D$95*(1+$A$7)^(H88-$D$88)),0)</f>
        <v>46</v>
      </c>
      <c r="I95" s="184">
        <f t="shared" si="59"/>
        <v>46</v>
      </c>
      <c r="J95" s="184">
        <f t="shared" si="59"/>
        <v>46</v>
      </c>
      <c r="K95" s="184">
        <f t="shared" si="59"/>
        <v>46</v>
      </c>
      <c r="L95" s="184">
        <f t="shared" si="59"/>
        <v>46</v>
      </c>
      <c r="M95" s="184">
        <f t="shared" si="59"/>
        <v>46</v>
      </c>
      <c r="N95" s="184">
        <f t="shared" si="59"/>
        <v>46</v>
      </c>
      <c r="O95" s="184">
        <f t="shared" si="59"/>
        <v>46</v>
      </c>
      <c r="P95" s="184">
        <f t="shared" si="59"/>
        <v>46</v>
      </c>
      <c r="Q95" s="112"/>
      <c r="R95" s="112"/>
    </row>
    <row r="97" spans="2:18" x14ac:dyDescent="0.25">
      <c r="C97" s="252" t="s">
        <v>38</v>
      </c>
      <c r="D97" s="249" t="s">
        <v>143</v>
      </c>
      <c r="E97" s="250"/>
      <c r="F97" s="251"/>
      <c r="G97" s="255" t="s">
        <v>39</v>
      </c>
      <c r="H97" s="255"/>
      <c r="I97" s="255"/>
      <c r="J97" s="255"/>
      <c r="K97" s="255"/>
      <c r="L97" s="255"/>
      <c r="M97" s="255"/>
      <c r="N97" s="255"/>
      <c r="O97" s="255"/>
      <c r="P97" s="255"/>
    </row>
    <row r="98" spans="2:18" x14ac:dyDescent="0.25">
      <c r="C98" s="253"/>
      <c r="D98" s="239">
        <v>0</v>
      </c>
      <c r="E98" s="239"/>
      <c r="F98" s="239"/>
      <c r="G98" s="24">
        <v>1</v>
      </c>
      <c r="H98" s="25">
        <v>2</v>
      </c>
      <c r="I98" s="25">
        <v>3</v>
      </c>
      <c r="J98" s="25">
        <v>4</v>
      </c>
      <c r="K98" s="25">
        <v>5</v>
      </c>
      <c r="L98" s="25">
        <v>6</v>
      </c>
      <c r="M98" s="25">
        <v>7</v>
      </c>
      <c r="N98" s="25">
        <v>8</v>
      </c>
      <c r="O98" s="25">
        <v>9</v>
      </c>
      <c r="P98" s="24">
        <v>10</v>
      </c>
    </row>
    <row r="99" spans="2:18" x14ac:dyDescent="0.25">
      <c r="C99" s="254"/>
      <c r="D99" s="95">
        <f t="shared" ref="D99:P99" si="60">+D77</f>
        <v>2024</v>
      </c>
      <c r="E99" s="95">
        <f t="shared" si="60"/>
        <v>2025</v>
      </c>
      <c r="F99" s="95">
        <f t="shared" si="60"/>
        <v>2026</v>
      </c>
      <c r="G99" s="95">
        <f t="shared" si="60"/>
        <v>2027</v>
      </c>
      <c r="H99" s="95">
        <f t="shared" si="60"/>
        <v>2028</v>
      </c>
      <c r="I99" s="95">
        <f t="shared" si="60"/>
        <v>2029</v>
      </c>
      <c r="J99" s="95">
        <f t="shared" si="60"/>
        <v>2030</v>
      </c>
      <c r="K99" s="95">
        <f t="shared" si="60"/>
        <v>2031</v>
      </c>
      <c r="L99" s="95">
        <f t="shared" si="60"/>
        <v>2032</v>
      </c>
      <c r="M99" s="95">
        <f t="shared" si="60"/>
        <v>2033</v>
      </c>
      <c r="N99" s="95">
        <f t="shared" si="60"/>
        <v>2034</v>
      </c>
      <c r="O99" s="95">
        <f t="shared" si="60"/>
        <v>2035</v>
      </c>
      <c r="P99" s="95">
        <f t="shared" si="60"/>
        <v>2036</v>
      </c>
    </row>
    <row r="100" spans="2:18" ht="38.25" x14ac:dyDescent="0.25">
      <c r="C100" s="28" t="s">
        <v>387</v>
      </c>
      <c r="D100" s="98">
        <f>+SUM(D101:D106)</f>
        <v>291.20000000000005</v>
      </c>
      <c r="E100" s="98">
        <f>+SUM(E101:E106)</f>
        <v>292</v>
      </c>
      <c r="F100" s="98">
        <f t="shared" ref="F100:P100" si="61">+SUM(F101:F106)</f>
        <v>292</v>
      </c>
      <c r="G100" s="106">
        <f t="shared" si="61"/>
        <v>292</v>
      </c>
      <c r="H100" s="106">
        <f t="shared" si="61"/>
        <v>292</v>
      </c>
      <c r="I100" s="106">
        <f t="shared" si="61"/>
        <v>292</v>
      </c>
      <c r="J100" s="106">
        <f t="shared" si="61"/>
        <v>292</v>
      </c>
      <c r="K100" s="106">
        <f t="shared" si="61"/>
        <v>292</v>
      </c>
      <c r="L100" s="106">
        <f t="shared" si="61"/>
        <v>292</v>
      </c>
      <c r="M100" s="106">
        <f t="shared" si="61"/>
        <v>292</v>
      </c>
      <c r="N100" s="106">
        <f t="shared" si="61"/>
        <v>292</v>
      </c>
      <c r="O100" s="106">
        <f t="shared" si="61"/>
        <v>292</v>
      </c>
      <c r="P100" s="106">
        <f t="shared" si="61"/>
        <v>292</v>
      </c>
    </row>
    <row r="101" spans="2:18" x14ac:dyDescent="0.25">
      <c r="C101" s="105" t="s">
        <v>181</v>
      </c>
      <c r="D101" s="94">
        <f>+'POBLACION DEMANDANTE POTENCIAL'!D124*80%</f>
        <v>43.2</v>
      </c>
      <c r="E101" s="94">
        <f>ROUND(($D$101*(1+$A$7)^(E99-$D$99)),0)</f>
        <v>43</v>
      </c>
      <c r="F101" s="128">
        <f>ROUND(($D$101*(1+$A$7)^(F99-$D$99)),0)</f>
        <v>43</v>
      </c>
      <c r="G101" s="192">
        <f>ROUND(($D$101*(1+$A$7)^(G99-$D$99)),0)</f>
        <v>43</v>
      </c>
      <c r="H101" s="193">
        <f>ROUND(($D$101*(1+$A$7)^(H99-$D$99)),0)</f>
        <v>43</v>
      </c>
      <c r="I101" s="193">
        <f>ROUND(($D$101*(1+$A$7)^(I99-$D$99)),0)</f>
        <v>43</v>
      </c>
      <c r="J101" s="193">
        <f t="shared" ref="J101:P101" si="62">ROUND(($D$101*(1+$A$7)^(J99-$D$99)),0)</f>
        <v>43</v>
      </c>
      <c r="K101" s="193">
        <f t="shared" si="62"/>
        <v>43</v>
      </c>
      <c r="L101" s="193">
        <f t="shared" si="62"/>
        <v>43</v>
      </c>
      <c r="M101" s="193">
        <f t="shared" si="62"/>
        <v>43</v>
      </c>
      <c r="N101" s="193">
        <f t="shared" si="62"/>
        <v>43</v>
      </c>
      <c r="O101" s="193">
        <f t="shared" si="62"/>
        <v>43</v>
      </c>
      <c r="P101" s="193">
        <f t="shared" si="62"/>
        <v>43</v>
      </c>
    </row>
    <row r="102" spans="2:18" x14ac:dyDescent="0.25">
      <c r="C102" s="51" t="s">
        <v>182</v>
      </c>
      <c r="D102" s="94">
        <f>+'POBLACION DEMANDANTE POTENCIAL'!D125*80%</f>
        <v>69.600000000000009</v>
      </c>
      <c r="E102" s="94">
        <f>ROUND(($D$102*(1+$A$7)^(E99-$D$99)),0)</f>
        <v>70</v>
      </c>
      <c r="F102" s="128">
        <f t="shared" ref="F102:P102" si="63">ROUND(($D$102*(1+$A$7)^(F99-$D$99)),0)</f>
        <v>70</v>
      </c>
      <c r="G102" s="189">
        <f>ROUND(($D$102*(1+$A$7)^(G99-$D$99)),0)</f>
        <v>70</v>
      </c>
      <c r="H102" s="124">
        <f>ROUND(($D$102*(1+$A$7)^(H99-$D$99)),0)</f>
        <v>70</v>
      </c>
      <c r="I102" s="124">
        <f t="shared" si="63"/>
        <v>70</v>
      </c>
      <c r="J102" s="124">
        <f t="shared" si="63"/>
        <v>70</v>
      </c>
      <c r="K102" s="124">
        <f t="shared" si="63"/>
        <v>70</v>
      </c>
      <c r="L102" s="124">
        <f t="shared" si="63"/>
        <v>70</v>
      </c>
      <c r="M102" s="124">
        <f t="shared" si="63"/>
        <v>70</v>
      </c>
      <c r="N102" s="124">
        <f t="shared" si="63"/>
        <v>70</v>
      </c>
      <c r="O102" s="124">
        <f t="shared" si="63"/>
        <v>70</v>
      </c>
      <c r="P102" s="124">
        <f t="shared" si="63"/>
        <v>70</v>
      </c>
    </row>
    <row r="103" spans="2:18" x14ac:dyDescent="0.25">
      <c r="C103" s="51" t="s">
        <v>183</v>
      </c>
      <c r="D103" s="94">
        <f>+'POBLACION DEMANDANTE POTENCIAL'!D126*80%</f>
        <v>52.800000000000004</v>
      </c>
      <c r="E103" s="94">
        <f>ROUND(($D$103*(1+$A$7)^(E99-$D$99)),0)</f>
        <v>53</v>
      </c>
      <c r="F103" s="128">
        <f t="shared" ref="F103:P103" si="64">ROUND(($D$103*(1+$A$7)^(F99-$D$99)),0)</f>
        <v>53</v>
      </c>
      <c r="G103" s="189">
        <f t="shared" si="64"/>
        <v>53</v>
      </c>
      <c r="H103" s="124">
        <f t="shared" si="64"/>
        <v>53</v>
      </c>
      <c r="I103" s="124">
        <f t="shared" si="64"/>
        <v>53</v>
      </c>
      <c r="J103" s="124">
        <f t="shared" si="64"/>
        <v>53</v>
      </c>
      <c r="K103" s="124">
        <f t="shared" si="64"/>
        <v>53</v>
      </c>
      <c r="L103" s="124">
        <f t="shared" si="64"/>
        <v>53</v>
      </c>
      <c r="M103" s="124">
        <f t="shared" si="64"/>
        <v>53</v>
      </c>
      <c r="N103" s="124">
        <f t="shared" si="64"/>
        <v>53</v>
      </c>
      <c r="O103" s="124">
        <f t="shared" si="64"/>
        <v>53</v>
      </c>
      <c r="P103" s="124">
        <f t="shared" si="64"/>
        <v>53</v>
      </c>
    </row>
    <row r="104" spans="2:18" x14ac:dyDescent="0.25">
      <c r="C104" s="51" t="s">
        <v>184</v>
      </c>
      <c r="D104" s="94">
        <f>+'POBLACION DEMANDANTE POTENCIAL'!D127*80%</f>
        <v>43.2</v>
      </c>
      <c r="E104" s="94">
        <f>ROUND(($D$104*(1+$A$7)^(E99-$D$99)),0)</f>
        <v>43</v>
      </c>
      <c r="F104" s="128">
        <f t="shared" ref="F104:P104" si="65">ROUND(($D$104*(1+$A$7)^(F99-$D$99)),0)</f>
        <v>43</v>
      </c>
      <c r="G104" s="189">
        <f>ROUND(($D$104*(1+$A$7)^(G99-$D$99)),0)</f>
        <v>43</v>
      </c>
      <c r="H104" s="124">
        <f t="shared" si="65"/>
        <v>43</v>
      </c>
      <c r="I104" s="124">
        <f>ROUND(($D$104*(1+$A$7)^(I99-$D$99)),0)</f>
        <v>43</v>
      </c>
      <c r="J104" s="124">
        <f>ROUND(($D$104*(1+$A$7)^(J99-$D$99)),0)</f>
        <v>43</v>
      </c>
      <c r="K104" s="124">
        <f t="shared" si="65"/>
        <v>43</v>
      </c>
      <c r="L104" s="124">
        <f t="shared" si="65"/>
        <v>43</v>
      </c>
      <c r="M104" s="124">
        <f t="shared" si="65"/>
        <v>43</v>
      </c>
      <c r="N104" s="124">
        <f t="shared" si="65"/>
        <v>43</v>
      </c>
      <c r="O104" s="124">
        <f t="shared" si="65"/>
        <v>43</v>
      </c>
      <c r="P104" s="124">
        <f t="shared" si="65"/>
        <v>43</v>
      </c>
    </row>
    <row r="105" spans="2:18" x14ac:dyDescent="0.25">
      <c r="C105" s="51" t="s">
        <v>185</v>
      </c>
      <c r="D105" s="94">
        <f>+'POBLACION DEMANDANTE POTENCIAL'!D128*80%</f>
        <v>36.800000000000004</v>
      </c>
      <c r="E105" s="94">
        <f>ROUND(($D$105*(1+$A$7)^(E99-$D$99)),0)</f>
        <v>37</v>
      </c>
      <c r="F105" s="128">
        <f t="shared" ref="F105:P105" si="66">ROUND(($D$105*(1+$A$7)^(F99-$D$99)),0)</f>
        <v>37</v>
      </c>
      <c r="G105" s="189">
        <f t="shared" si="66"/>
        <v>37</v>
      </c>
      <c r="H105" s="124">
        <f t="shared" si="66"/>
        <v>37</v>
      </c>
      <c r="I105" s="124">
        <f>ROUND(($D$105*(1+$A$7)^(I99-$D$99)),0)</f>
        <v>37</v>
      </c>
      <c r="J105" s="124">
        <f t="shared" si="66"/>
        <v>37</v>
      </c>
      <c r="K105" s="124">
        <f>ROUND(($D$105*(1+$A$7)^(K99-$D$99)),0)</f>
        <v>37</v>
      </c>
      <c r="L105" s="124">
        <f t="shared" si="66"/>
        <v>37</v>
      </c>
      <c r="M105" s="124">
        <f t="shared" si="66"/>
        <v>37</v>
      </c>
      <c r="N105" s="124">
        <f t="shared" si="66"/>
        <v>37</v>
      </c>
      <c r="O105" s="124">
        <f t="shared" si="66"/>
        <v>37</v>
      </c>
      <c r="P105" s="124">
        <f t="shared" si="66"/>
        <v>37</v>
      </c>
    </row>
    <row r="106" spans="2:18" x14ac:dyDescent="0.25">
      <c r="C106" s="109" t="s">
        <v>186</v>
      </c>
      <c r="D106" s="94">
        <f>+'POBLACION DEMANDANTE POTENCIAL'!D129*80%</f>
        <v>45.6</v>
      </c>
      <c r="E106" s="94">
        <f>ROUND(($D$106*(1+$A$7)^(E99-$D$99)),0)</f>
        <v>46</v>
      </c>
      <c r="F106" s="128">
        <f>ROUND(($D$106*(1+$A$7)^(F99-$D$99)),0)</f>
        <v>46</v>
      </c>
      <c r="G106" s="190">
        <f>ROUND(($D$106*(1+$A$7)^(G99-$D$99)),0)</f>
        <v>46</v>
      </c>
      <c r="H106" s="191">
        <f>ROUND(($D$106*(1+$A$7)^(H99-$D$99)),0)</f>
        <v>46</v>
      </c>
      <c r="I106" s="191">
        <f>ROUND(($D$106*(1+$A$7)^(I99-$D$99)),0)</f>
        <v>46</v>
      </c>
      <c r="J106" s="191">
        <f t="shared" ref="J106:P106" si="67">ROUND(($D$106*(1+$A$7)^(J99-$D$99)),0)</f>
        <v>46</v>
      </c>
      <c r="K106" s="191">
        <f>ROUND(($D$106*(1+$A$7)^(K99-$D$99)),0)</f>
        <v>46</v>
      </c>
      <c r="L106" s="191">
        <f>ROUND(($D$106*(1+$A$7)^(L99-$D$99)),0)</f>
        <v>46</v>
      </c>
      <c r="M106" s="191">
        <f>ROUND(($D$106*(1+$A$7)^(M99-$D$99)),0)</f>
        <v>46</v>
      </c>
      <c r="N106" s="191">
        <f t="shared" si="67"/>
        <v>46</v>
      </c>
      <c r="O106" s="191">
        <f t="shared" si="67"/>
        <v>46</v>
      </c>
      <c r="P106" s="191">
        <f t="shared" si="67"/>
        <v>46</v>
      </c>
    </row>
    <row r="107" spans="2:18" x14ac:dyDescent="0.25">
      <c r="B107" s="256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</row>
    <row r="108" spans="2:18" x14ac:dyDescent="0.25">
      <c r="B108" s="112"/>
      <c r="C108" s="239" t="s">
        <v>24</v>
      </c>
      <c r="D108" s="249" t="s">
        <v>143</v>
      </c>
      <c r="E108" s="250"/>
      <c r="F108" s="251"/>
      <c r="G108" s="255" t="s">
        <v>39</v>
      </c>
      <c r="H108" s="255"/>
      <c r="I108" s="255"/>
      <c r="J108" s="255"/>
      <c r="K108" s="255"/>
      <c r="L108" s="255"/>
      <c r="M108" s="255"/>
      <c r="N108" s="255"/>
      <c r="O108" s="255"/>
      <c r="P108" s="255"/>
      <c r="Q108" s="112"/>
      <c r="R108" s="112"/>
    </row>
    <row r="109" spans="2:18" x14ac:dyDescent="0.25">
      <c r="B109" s="112"/>
      <c r="C109" s="239"/>
      <c r="D109" s="259">
        <v>0</v>
      </c>
      <c r="E109" s="260"/>
      <c r="F109" s="261"/>
      <c r="G109" s="24">
        <v>1</v>
      </c>
      <c r="H109" s="24">
        <v>2</v>
      </c>
      <c r="I109" s="24">
        <v>3</v>
      </c>
      <c r="J109" s="24">
        <v>4</v>
      </c>
      <c r="K109" s="24">
        <v>5</v>
      </c>
      <c r="L109" s="24">
        <v>6</v>
      </c>
      <c r="M109" s="24">
        <v>7</v>
      </c>
      <c r="N109" s="24">
        <v>8</v>
      </c>
      <c r="O109" s="24">
        <v>9</v>
      </c>
      <c r="P109" s="24">
        <v>10</v>
      </c>
      <c r="Q109" s="112"/>
      <c r="R109" s="112"/>
    </row>
    <row r="110" spans="2:18" x14ac:dyDescent="0.25">
      <c r="B110" s="112"/>
      <c r="C110" s="239"/>
      <c r="D110" s="20">
        <v>2024</v>
      </c>
      <c r="E110" s="20">
        <v>2025</v>
      </c>
      <c r="F110" s="20">
        <v>2026</v>
      </c>
      <c r="G110" s="20">
        <v>2027</v>
      </c>
      <c r="H110" s="20">
        <v>2028</v>
      </c>
      <c r="I110" s="20">
        <v>2029</v>
      </c>
      <c r="J110" s="20">
        <v>2030</v>
      </c>
      <c r="K110" s="20">
        <v>2031</v>
      </c>
      <c r="L110" s="20">
        <v>2032</v>
      </c>
      <c r="M110" s="20">
        <v>2033</v>
      </c>
      <c r="N110" s="20">
        <v>2034</v>
      </c>
      <c r="O110" s="20">
        <v>2035</v>
      </c>
      <c r="P110" s="20">
        <v>2036</v>
      </c>
      <c r="Q110" s="112"/>
      <c r="R110" s="112"/>
    </row>
    <row r="111" spans="2:18" x14ac:dyDescent="0.25">
      <c r="B111" s="112"/>
      <c r="C111" s="115" t="s">
        <v>191</v>
      </c>
      <c r="D111" s="97">
        <f>SUM(D112:D112)</f>
        <v>14.4</v>
      </c>
      <c r="E111" s="97">
        <f t="shared" ref="E111:P111" si="68">SUM(E112:E112)</f>
        <v>14</v>
      </c>
      <c r="F111" s="97">
        <f t="shared" si="68"/>
        <v>14</v>
      </c>
      <c r="G111" s="97">
        <f t="shared" si="68"/>
        <v>14</v>
      </c>
      <c r="H111" s="97">
        <f t="shared" si="68"/>
        <v>14</v>
      </c>
      <c r="I111" s="97">
        <f t="shared" si="68"/>
        <v>14</v>
      </c>
      <c r="J111" s="97">
        <f t="shared" si="68"/>
        <v>14</v>
      </c>
      <c r="K111" s="97">
        <f t="shared" si="68"/>
        <v>14</v>
      </c>
      <c r="L111" s="97">
        <f t="shared" si="68"/>
        <v>14</v>
      </c>
      <c r="M111" s="97">
        <f t="shared" si="68"/>
        <v>14</v>
      </c>
      <c r="N111" s="97">
        <f t="shared" si="68"/>
        <v>14</v>
      </c>
      <c r="O111" s="97">
        <f t="shared" si="68"/>
        <v>14</v>
      </c>
      <c r="P111" s="97">
        <f t="shared" si="68"/>
        <v>14</v>
      </c>
      <c r="Q111" s="112"/>
      <c r="R111" s="112"/>
    </row>
    <row r="112" spans="2:18" x14ac:dyDescent="0.25">
      <c r="B112" s="112"/>
      <c r="C112" s="105" t="s">
        <v>33</v>
      </c>
      <c r="D112" s="96">
        <f>+'POBLACION DEMANDANTE POTENCIAL'!D135*80%</f>
        <v>14.4</v>
      </c>
      <c r="E112" s="96">
        <f>ROUND(($D$112*(1+$A$7)^(E110-$D$110)),0)</f>
        <v>14</v>
      </c>
      <c r="F112" s="118">
        <f t="shared" ref="F112:P112" si="69">ROUND(($D$112*(1+$A$7)^(F110-$D$110)),0)</f>
        <v>14</v>
      </c>
      <c r="G112" s="118">
        <f t="shared" si="69"/>
        <v>14</v>
      </c>
      <c r="H112" s="142">
        <f t="shared" si="69"/>
        <v>14</v>
      </c>
      <c r="I112" s="142">
        <f t="shared" si="69"/>
        <v>14</v>
      </c>
      <c r="J112" s="142">
        <f t="shared" si="69"/>
        <v>14</v>
      </c>
      <c r="K112" s="142">
        <f t="shared" si="69"/>
        <v>14</v>
      </c>
      <c r="L112" s="142">
        <f t="shared" si="69"/>
        <v>14</v>
      </c>
      <c r="M112" s="142">
        <f t="shared" si="69"/>
        <v>14</v>
      </c>
      <c r="N112" s="142">
        <f t="shared" si="69"/>
        <v>14</v>
      </c>
      <c r="O112" s="142">
        <f t="shared" si="69"/>
        <v>14</v>
      </c>
      <c r="P112" s="142">
        <f t="shared" si="69"/>
        <v>14</v>
      </c>
      <c r="Q112" s="112"/>
      <c r="R112" s="112"/>
    </row>
    <row r="113" spans="2:17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2:17" x14ac:dyDescent="0.25">
      <c r="C114" s="239" t="s">
        <v>24</v>
      </c>
      <c r="D114" s="249" t="s">
        <v>143</v>
      </c>
      <c r="E114" s="250"/>
      <c r="F114" s="251"/>
      <c r="G114" s="255" t="s">
        <v>39</v>
      </c>
      <c r="H114" s="255"/>
      <c r="I114" s="255"/>
      <c r="J114" s="255"/>
      <c r="K114" s="255"/>
      <c r="L114" s="255"/>
      <c r="M114" s="255"/>
      <c r="N114" s="255"/>
      <c r="O114" s="255"/>
      <c r="P114" s="255"/>
    </row>
    <row r="115" spans="2:17" x14ac:dyDescent="0.25">
      <c r="C115" s="239"/>
      <c r="D115" s="259">
        <v>0</v>
      </c>
      <c r="E115" s="260"/>
      <c r="F115" s="261"/>
      <c r="G115" s="24">
        <v>1</v>
      </c>
      <c r="H115" s="24">
        <v>2</v>
      </c>
      <c r="I115" s="24">
        <v>3</v>
      </c>
      <c r="J115" s="24">
        <v>4</v>
      </c>
      <c r="K115" s="24">
        <v>5</v>
      </c>
      <c r="L115" s="24">
        <v>6</v>
      </c>
      <c r="M115" s="24">
        <v>7</v>
      </c>
      <c r="N115" s="24">
        <v>8</v>
      </c>
      <c r="O115" s="24">
        <v>9</v>
      </c>
      <c r="P115" s="24">
        <v>10</v>
      </c>
    </row>
    <row r="116" spans="2:17" x14ac:dyDescent="0.25">
      <c r="C116" s="239"/>
      <c r="D116" s="20">
        <v>2024</v>
      </c>
      <c r="E116" s="20">
        <v>2025</v>
      </c>
      <c r="F116" s="20">
        <v>2026</v>
      </c>
      <c r="G116" s="20">
        <v>2027</v>
      </c>
      <c r="H116" s="20">
        <v>2028</v>
      </c>
      <c r="I116" s="20">
        <v>2029</v>
      </c>
      <c r="J116" s="20">
        <v>2030</v>
      </c>
      <c r="K116" s="20">
        <v>2031</v>
      </c>
      <c r="L116" s="20">
        <v>2032</v>
      </c>
      <c r="M116" s="20">
        <v>2033</v>
      </c>
      <c r="N116" s="20">
        <v>2034</v>
      </c>
      <c r="O116" s="20">
        <v>2035</v>
      </c>
      <c r="P116" s="20">
        <v>2036</v>
      </c>
    </row>
    <row r="117" spans="2:17" ht="26.25" x14ac:dyDescent="0.25">
      <c r="C117" s="115" t="s">
        <v>208</v>
      </c>
      <c r="D117" s="97">
        <f>SUM(D118:D119)</f>
        <v>201.60000000000002</v>
      </c>
      <c r="E117" s="97">
        <f t="shared" ref="E117:P117" si="70">SUM(E118:E119)</f>
        <v>201</v>
      </c>
      <c r="F117" s="97">
        <f t="shared" si="70"/>
        <v>202</v>
      </c>
      <c r="G117" s="97">
        <f t="shared" si="70"/>
        <v>202</v>
      </c>
      <c r="H117" s="97">
        <f t="shared" si="70"/>
        <v>202</v>
      </c>
      <c r="I117" s="97">
        <f t="shared" si="70"/>
        <v>202</v>
      </c>
      <c r="J117" s="97">
        <f t="shared" si="70"/>
        <v>202</v>
      </c>
      <c r="K117" s="97">
        <f t="shared" si="70"/>
        <v>202</v>
      </c>
      <c r="L117" s="97">
        <f t="shared" si="70"/>
        <v>202</v>
      </c>
      <c r="M117" s="97">
        <f t="shared" si="70"/>
        <v>202</v>
      </c>
      <c r="N117" s="97">
        <f t="shared" si="70"/>
        <v>202</v>
      </c>
      <c r="O117" s="97">
        <f t="shared" si="70"/>
        <v>202</v>
      </c>
      <c r="P117" s="97">
        <f t="shared" si="70"/>
        <v>202</v>
      </c>
    </row>
    <row r="118" spans="2:17" x14ac:dyDescent="0.25">
      <c r="C118" s="105" t="s">
        <v>206</v>
      </c>
      <c r="D118" s="96">
        <f>+'POBLACION DEMANDANTE POTENCIAL'!D141*80%</f>
        <v>23.200000000000003</v>
      </c>
      <c r="E118" s="96">
        <f t="shared" ref="E118:P118" si="71">ROUND(($D$118*(1+$A$7)^(E116-$D$116)),0)</f>
        <v>23</v>
      </c>
      <c r="F118" s="118">
        <f t="shared" si="71"/>
        <v>23</v>
      </c>
      <c r="G118" s="187">
        <f t="shared" si="71"/>
        <v>23</v>
      </c>
      <c r="H118" s="186">
        <f t="shared" si="71"/>
        <v>23</v>
      </c>
      <c r="I118" s="186">
        <f t="shared" si="71"/>
        <v>23</v>
      </c>
      <c r="J118" s="186">
        <f t="shared" si="71"/>
        <v>23</v>
      </c>
      <c r="K118" s="186">
        <f t="shared" si="71"/>
        <v>23</v>
      </c>
      <c r="L118" s="186">
        <f t="shared" si="71"/>
        <v>23</v>
      </c>
      <c r="M118" s="186">
        <f t="shared" si="71"/>
        <v>23</v>
      </c>
      <c r="N118" s="186">
        <f t="shared" si="71"/>
        <v>23</v>
      </c>
      <c r="O118" s="186">
        <f t="shared" si="71"/>
        <v>23</v>
      </c>
      <c r="P118" s="186">
        <f t="shared" si="71"/>
        <v>23</v>
      </c>
    </row>
    <row r="119" spans="2:17" x14ac:dyDescent="0.25">
      <c r="C119" s="105" t="s">
        <v>207</v>
      </c>
      <c r="D119" s="96">
        <f>+'POBLACION DEMANDANTE POTENCIAL'!D142*80%</f>
        <v>178.4</v>
      </c>
      <c r="E119" s="96">
        <f>ROUND(($D$119*(1+$A$7)^(E116-$D$116)),0)</f>
        <v>178</v>
      </c>
      <c r="F119" s="118">
        <f t="shared" ref="F119:P119" si="72">ROUND(($D$119*(1+$A$7)^(F116-$D$116)),0)</f>
        <v>179</v>
      </c>
      <c r="G119" s="179">
        <f t="shared" si="72"/>
        <v>179</v>
      </c>
      <c r="H119" s="184">
        <f t="shared" si="72"/>
        <v>179</v>
      </c>
      <c r="I119" s="184">
        <f t="shared" si="72"/>
        <v>179</v>
      </c>
      <c r="J119" s="184">
        <f t="shared" si="72"/>
        <v>179</v>
      </c>
      <c r="K119" s="184">
        <f t="shared" si="72"/>
        <v>179</v>
      </c>
      <c r="L119" s="184">
        <f t="shared" si="72"/>
        <v>179</v>
      </c>
      <c r="M119" s="184">
        <f t="shared" si="72"/>
        <v>179</v>
      </c>
      <c r="N119" s="184">
        <f t="shared" si="72"/>
        <v>179</v>
      </c>
      <c r="O119" s="184">
        <f t="shared" si="72"/>
        <v>179</v>
      </c>
      <c r="P119" s="184">
        <f t="shared" si="72"/>
        <v>179</v>
      </c>
    </row>
    <row r="120" spans="2:17" x14ac:dyDescent="0.25">
      <c r="B120" s="256"/>
      <c r="C120" s="257"/>
      <c r="D120" s="258"/>
      <c r="E120" s="258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5"/>
    </row>
    <row r="121" spans="2:17" x14ac:dyDescent="0.25">
      <c r="C121" s="252" t="s">
        <v>38</v>
      </c>
      <c r="D121" s="249" t="s">
        <v>143</v>
      </c>
      <c r="E121" s="250"/>
      <c r="F121" s="251"/>
      <c r="G121" s="255" t="s">
        <v>39</v>
      </c>
      <c r="H121" s="255"/>
      <c r="I121" s="255"/>
      <c r="J121" s="255"/>
      <c r="K121" s="255"/>
      <c r="L121" s="255"/>
      <c r="M121" s="255"/>
      <c r="N121" s="255"/>
      <c r="O121" s="255"/>
      <c r="P121" s="255"/>
    </row>
    <row r="122" spans="2:17" x14ac:dyDescent="0.25">
      <c r="C122" s="253"/>
      <c r="D122" s="239">
        <v>0</v>
      </c>
      <c r="E122" s="239"/>
      <c r="F122" s="239"/>
      <c r="G122" s="24">
        <v>1</v>
      </c>
      <c r="H122" s="25">
        <v>2</v>
      </c>
      <c r="I122" s="25">
        <v>3</v>
      </c>
      <c r="J122" s="25">
        <v>4</v>
      </c>
      <c r="K122" s="25">
        <v>5</v>
      </c>
      <c r="L122" s="25">
        <v>6</v>
      </c>
      <c r="M122" s="25">
        <v>7</v>
      </c>
      <c r="N122" s="25">
        <v>8</v>
      </c>
      <c r="O122" s="25">
        <v>9</v>
      </c>
      <c r="P122" s="24">
        <v>10</v>
      </c>
    </row>
    <row r="123" spans="2:17" x14ac:dyDescent="0.25">
      <c r="C123" s="254"/>
      <c r="D123" s="95">
        <v>2024</v>
      </c>
      <c r="E123" s="95">
        <v>2025</v>
      </c>
      <c r="F123" s="95">
        <v>2026</v>
      </c>
      <c r="G123" s="95">
        <v>2027</v>
      </c>
      <c r="H123" s="95">
        <v>2028</v>
      </c>
      <c r="I123" s="95">
        <v>2029</v>
      </c>
      <c r="J123" s="95">
        <v>2030</v>
      </c>
      <c r="K123" s="95">
        <v>2031</v>
      </c>
      <c r="L123" s="95">
        <v>2032</v>
      </c>
      <c r="M123" s="95">
        <v>2033</v>
      </c>
      <c r="N123" s="95">
        <v>2034</v>
      </c>
      <c r="O123" s="95">
        <v>2035</v>
      </c>
      <c r="P123" s="95">
        <v>2036</v>
      </c>
    </row>
    <row r="124" spans="2:17" x14ac:dyDescent="0.25">
      <c r="C124" s="28" t="s">
        <v>218</v>
      </c>
      <c r="D124" s="98">
        <f>+SUM(D125:D130)</f>
        <v>291.20000000000005</v>
      </c>
      <c r="E124" s="98">
        <f>+SUM(E125:E130)</f>
        <v>292</v>
      </c>
      <c r="F124" s="98">
        <f t="shared" ref="F124:P124" si="73">+SUM(F125:F130)</f>
        <v>292</v>
      </c>
      <c r="G124" s="106">
        <f t="shared" si="73"/>
        <v>292</v>
      </c>
      <c r="H124" s="106">
        <f t="shared" si="73"/>
        <v>292</v>
      </c>
      <c r="I124" s="106">
        <f t="shared" si="73"/>
        <v>292</v>
      </c>
      <c r="J124" s="106">
        <f t="shared" si="73"/>
        <v>292</v>
      </c>
      <c r="K124" s="106">
        <f t="shared" si="73"/>
        <v>292</v>
      </c>
      <c r="L124" s="106">
        <f t="shared" si="73"/>
        <v>292</v>
      </c>
      <c r="M124" s="106">
        <f t="shared" si="73"/>
        <v>292</v>
      </c>
      <c r="N124" s="106">
        <f t="shared" si="73"/>
        <v>292</v>
      </c>
      <c r="O124" s="106">
        <f t="shared" si="73"/>
        <v>292</v>
      </c>
      <c r="P124" s="106">
        <f t="shared" si="73"/>
        <v>292</v>
      </c>
    </row>
    <row r="125" spans="2:17" x14ac:dyDescent="0.25">
      <c r="C125" s="105" t="s">
        <v>181</v>
      </c>
      <c r="D125" s="94">
        <f>+'POBLACION DEMANDANTE POTENCIAL'!D148*80%</f>
        <v>43.2</v>
      </c>
      <c r="E125" s="94">
        <f>ROUND(($D$125*(1+$A$7)^(E123-$D$123)),0)</f>
        <v>43</v>
      </c>
      <c r="F125" s="128">
        <f t="shared" ref="F125:P125" si="74">ROUND(($D$125*(1+$A$7)^(F123-$D$123)),0)</f>
        <v>43</v>
      </c>
      <c r="G125" s="192">
        <f t="shared" si="74"/>
        <v>43</v>
      </c>
      <c r="H125" s="193">
        <f t="shared" si="74"/>
        <v>43</v>
      </c>
      <c r="I125" s="193">
        <f t="shared" si="74"/>
        <v>43</v>
      </c>
      <c r="J125" s="193">
        <f t="shared" si="74"/>
        <v>43</v>
      </c>
      <c r="K125" s="193">
        <f t="shared" si="74"/>
        <v>43</v>
      </c>
      <c r="L125" s="193">
        <f t="shared" si="74"/>
        <v>43</v>
      </c>
      <c r="M125" s="193">
        <f t="shared" si="74"/>
        <v>43</v>
      </c>
      <c r="N125" s="193">
        <f t="shared" si="74"/>
        <v>43</v>
      </c>
      <c r="O125" s="193">
        <f t="shared" si="74"/>
        <v>43</v>
      </c>
      <c r="P125" s="193">
        <f t="shared" si="74"/>
        <v>43</v>
      </c>
    </row>
    <row r="126" spans="2:17" x14ac:dyDescent="0.25">
      <c r="C126" s="51" t="s">
        <v>182</v>
      </c>
      <c r="D126" s="94">
        <f>+'POBLACION DEMANDANTE POTENCIAL'!D149*80%</f>
        <v>69.600000000000009</v>
      </c>
      <c r="E126" s="94">
        <f>ROUND(($D$126*(1+$A$7)^(E123-$D$123)),0)</f>
        <v>70</v>
      </c>
      <c r="F126" s="128">
        <f t="shared" ref="F126:P126" si="75">ROUND(($D$126*(1+$A$7)^(F123-$D$123)),0)</f>
        <v>70</v>
      </c>
      <c r="G126" s="189">
        <f t="shared" si="75"/>
        <v>70</v>
      </c>
      <c r="H126" s="124">
        <f t="shared" si="75"/>
        <v>70</v>
      </c>
      <c r="I126" s="124">
        <f t="shared" si="75"/>
        <v>70</v>
      </c>
      <c r="J126" s="124">
        <f t="shared" si="75"/>
        <v>70</v>
      </c>
      <c r="K126" s="124">
        <f t="shared" si="75"/>
        <v>70</v>
      </c>
      <c r="L126" s="124">
        <f t="shared" si="75"/>
        <v>70</v>
      </c>
      <c r="M126" s="124">
        <f t="shared" si="75"/>
        <v>70</v>
      </c>
      <c r="N126" s="124">
        <f t="shared" si="75"/>
        <v>70</v>
      </c>
      <c r="O126" s="124">
        <f t="shared" si="75"/>
        <v>70</v>
      </c>
      <c r="P126" s="124">
        <f t="shared" si="75"/>
        <v>70</v>
      </c>
    </row>
    <row r="127" spans="2:17" x14ac:dyDescent="0.25">
      <c r="C127" s="51" t="s">
        <v>183</v>
      </c>
      <c r="D127" s="94">
        <f>+'POBLACION DEMANDANTE POTENCIAL'!D150*80%</f>
        <v>52.800000000000004</v>
      </c>
      <c r="E127" s="94">
        <f>ROUND(($D$127*(1+$A$7)^(E123-$D$123)),0)</f>
        <v>53</v>
      </c>
      <c r="F127" s="128">
        <f t="shared" ref="F127:P127" si="76">ROUND(($D$127*(1+$A$7)^(F123-$D$123)),0)</f>
        <v>53</v>
      </c>
      <c r="G127" s="189">
        <f t="shared" si="76"/>
        <v>53</v>
      </c>
      <c r="H127" s="124">
        <f t="shared" si="76"/>
        <v>53</v>
      </c>
      <c r="I127" s="124">
        <f t="shared" si="76"/>
        <v>53</v>
      </c>
      <c r="J127" s="124">
        <f t="shared" si="76"/>
        <v>53</v>
      </c>
      <c r="K127" s="124">
        <f t="shared" si="76"/>
        <v>53</v>
      </c>
      <c r="L127" s="124">
        <f t="shared" si="76"/>
        <v>53</v>
      </c>
      <c r="M127" s="124">
        <f t="shared" si="76"/>
        <v>53</v>
      </c>
      <c r="N127" s="124">
        <f t="shared" si="76"/>
        <v>53</v>
      </c>
      <c r="O127" s="124">
        <f t="shared" si="76"/>
        <v>53</v>
      </c>
      <c r="P127" s="124">
        <f t="shared" si="76"/>
        <v>53</v>
      </c>
    </row>
    <row r="128" spans="2:17" x14ac:dyDescent="0.25">
      <c r="C128" s="51" t="s">
        <v>184</v>
      </c>
      <c r="D128" s="94">
        <f>+'POBLACION DEMANDANTE POTENCIAL'!D151*80%</f>
        <v>43.2</v>
      </c>
      <c r="E128" s="94">
        <f t="shared" ref="E128:P128" si="77">ROUND(($D$128*(1+$A$7)^(E123-$D$123)),0)</f>
        <v>43</v>
      </c>
      <c r="F128" s="128">
        <f t="shared" si="77"/>
        <v>43</v>
      </c>
      <c r="G128" s="189">
        <f t="shared" si="77"/>
        <v>43</v>
      </c>
      <c r="H128" s="124">
        <f t="shared" si="77"/>
        <v>43</v>
      </c>
      <c r="I128" s="124">
        <f t="shared" si="77"/>
        <v>43</v>
      </c>
      <c r="J128" s="124">
        <f t="shared" si="77"/>
        <v>43</v>
      </c>
      <c r="K128" s="124">
        <f t="shared" si="77"/>
        <v>43</v>
      </c>
      <c r="L128" s="124">
        <f t="shared" si="77"/>
        <v>43</v>
      </c>
      <c r="M128" s="124">
        <f t="shared" si="77"/>
        <v>43</v>
      </c>
      <c r="N128" s="124">
        <f t="shared" si="77"/>
        <v>43</v>
      </c>
      <c r="O128" s="124">
        <f t="shared" si="77"/>
        <v>43</v>
      </c>
      <c r="P128" s="124">
        <f t="shared" si="77"/>
        <v>43</v>
      </c>
    </row>
    <row r="129" spans="2:18" x14ac:dyDescent="0.25">
      <c r="C129" s="51" t="s">
        <v>185</v>
      </c>
      <c r="D129" s="94">
        <f>+'POBLACION DEMANDANTE POTENCIAL'!D152*80%</f>
        <v>36.800000000000004</v>
      </c>
      <c r="E129" s="94">
        <f t="shared" ref="E129:P129" si="78">ROUND(($D$129*(1+$A$7)^(E123-$D$123)),0)</f>
        <v>37</v>
      </c>
      <c r="F129" s="128">
        <f t="shared" si="78"/>
        <v>37</v>
      </c>
      <c r="G129" s="189">
        <f t="shared" si="78"/>
        <v>37</v>
      </c>
      <c r="H129" s="124">
        <f t="shared" si="78"/>
        <v>37</v>
      </c>
      <c r="I129" s="124">
        <f t="shared" si="78"/>
        <v>37</v>
      </c>
      <c r="J129" s="124">
        <f t="shared" si="78"/>
        <v>37</v>
      </c>
      <c r="K129" s="124">
        <f t="shared" si="78"/>
        <v>37</v>
      </c>
      <c r="L129" s="124">
        <f t="shared" si="78"/>
        <v>37</v>
      </c>
      <c r="M129" s="124">
        <f t="shared" si="78"/>
        <v>37</v>
      </c>
      <c r="N129" s="124">
        <f t="shared" si="78"/>
        <v>37</v>
      </c>
      <c r="O129" s="124">
        <f t="shared" si="78"/>
        <v>37</v>
      </c>
      <c r="P129" s="124">
        <f t="shared" si="78"/>
        <v>37</v>
      </c>
    </row>
    <row r="130" spans="2:18" x14ac:dyDescent="0.25">
      <c r="C130" s="109" t="s">
        <v>186</v>
      </c>
      <c r="D130" s="94">
        <f>+'POBLACION DEMANDANTE POTENCIAL'!D153*80%</f>
        <v>45.6</v>
      </c>
      <c r="E130" s="94">
        <f t="shared" ref="E130:P130" si="79">ROUND(($D$130*(1+$A$7)^(E123-$D$123)),0)</f>
        <v>46</v>
      </c>
      <c r="F130" s="128">
        <f t="shared" si="79"/>
        <v>46</v>
      </c>
      <c r="G130" s="190">
        <f t="shared" si="79"/>
        <v>46</v>
      </c>
      <c r="H130" s="191">
        <f t="shared" si="79"/>
        <v>46</v>
      </c>
      <c r="I130" s="191">
        <f t="shared" si="79"/>
        <v>46</v>
      </c>
      <c r="J130" s="191">
        <f t="shared" si="79"/>
        <v>46</v>
      </c>
      <c r="K130" s="191">
        <f t="shared" si="79"/>
        <v>46</v>
      </c>
      <c r="L130" s="191">
        <f t="shared" si="79"/>
        <v>46</v>
      </c>
      <c r="M130" s="191">
        <f t="shared" si="79"/>
        <v>46</v>
      </c>
      <c r="N130" s="191">
        <f t="shared" si="79"/>
        <v>46</v>
      </c>
      <c r="O130" s="191">
        <f t="shared" si="79"/>
        <v>46</v>
      </c>
      <c r="P130" s="191">
        <f t="shared" si="79"/>
        <v>46</v>
      </c>
    </row>
    <row r="131" spans="2:18" x14ac:dyDescent="0.25">
      <c r="B131" s="256" t="s">
        <v>180</v>
      </c>
      <c r="C131" s="257"/>
      <c r="D131" s="258"/>
      <c r="E131" s="258"/>
      <c r="F131" s="25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65"/>
    </row>
    <row r="132" spans="2:18" x14ac:dyDescent="0.25">
      <c r="B132" s="112"/>
      <c r="C132" s="239" t="s">
        <v>24</v>
      </c>
      <c r="D132" s="249" t="s">
        <v>143</v>
      </c>
      <c r="E132" s="250"/>
      <c r="F132" s="251"/>
      <c r="G132" s="255" t="s">
        <v>39</v>
      </c>
      <c r="H132" s="255"/>
      <c r="I132" s="255"/>
      <c r="J132" s="255"/>
      <c r="K132" s="255"/>
      <c r="L132" s="255"/>
      <c r="M132" s="255"/>
      <c r="N132" s="255"/>
      <c r="O132" s="255"/>
      <c r="P132" s="255"/>
      <c r="Q132" s="112"/>
      <c r="R132" s="112"/>
    </row>
    <row r="133" spans="2:18" x14ac:dyDescent="0.25">
      <c r="B133" s="112"/>
      <c r="C133" s="239"/>
      <c r="D133" s="259">
        <v>0</v>
      </c>
      <c r="E133" s="260"/>
      <c r="F133" s="261"/>
      <c r="G133" s="24">
        <v>1</v>
      </c>
      <c r="H133" s="24">
        <v>2</v>
      </c>
      <c r="I133" s="24">
        <v>3</v>
      </c>
      <c r="J133" s="24">
        <v>4</v>
      </c>
      <c r="K133" s="24">
        <v>5</v>
      </c>
      <c r="L133" s="24">
        <v>6</v>
      </c>
      <c r="M133" s="24">
        <v>7</v>
      </c>
      <c r="N133" s="24">
        <v>8</v>
      </c>
      <c r="O133" s="24">
        <v>9</v>
      </c>
      <c r="P133" s="24">
        <v>10</v>
      </c>
      <c r="Q133" s="112"/>
      <c r="R133" s="112"/>
    </row>
    <row r="134" spans="2:18" x14ac:dyDescent="0.25">
      <c r="B134" s="112"/>
      <c r="C134" s="239"/>
      <c r="D134" s="20">
        <v>2024</v>
      </c>
      <c r="E134" s="20">
        <v>2025</v>
      </c>
      <c r="F134" s="20">
        <v>2026</v>
      </c>
      <c r="G134" s="20">
        <v>2027</v>
      </c>
      <c r="H134" s="20">
        <v>2028</v>
      </c>
      <c r="I134" s="20">
        <v>2029</v>
      </c>
      <c r="J134" s="20">
        <v>2030</v>
      </c>
      <c r="K134" s="20">
        <v>2031</v>
      </c>
      <c r="L134" s="20">
        <v>2032</v>
      </c>
      <c r="M134" s="20">
        <v>2033</v>
      </c>
      <c r="N134" s="20">
        <v>2034</v>
      </c>
      <c r="O134" s="20">
        <v>2035</v>
      </c>
      <c r="P134" s="20">
        <v>2036</v>
      </c>
      <c r="Q134" s="112"/>
      <c r="R134" s="112"/>
    </row>
    <row r="135" spans="2:18" x14ac:dyDescent="0.25">
      <c r="B135" s="112"/>
      <c r="C135" s="115" t="s">
        <v>213</v>
      </c>
      <c r="D135" s="97">
        <f>SUM(D136:D136)</f>
        <v>14.4</v>
      </c>
      <c r="E135" s="97">
        <f t="shared" ref="E135:P135" si="80">SUM(E136:E136)</f>
        <v>14</v>
      </c>
      <c r="F135" s="97">
        <f t="shared" si="80"/>
        <v>14</v>
      </c>
      <c r="G135" s="106">
        <f t="shared" si="80"/>
        <v>14</v>
      </c>
      <c r="H135" s="106">
        <f t="shared" si="80"/>
        <v>14</v>
      </c>
      <c r="I135" s="106">
        <f t="shared" si="80"/>
        <v>14</v>
      </c>
      <c r="J135" s="106">
        <f t="shared" si="80"/>
        <v>14</v>
      </c>
      <c r="K135" s="106">
        <f t="shared" si="80"/>
        <v>14</v>
      </c>
      <c r="L135" s="106">
        <f t="shared" si="80"/>
        <v>14</v>
      </c>
      <c r="M135" s="106">
        <f t="shared" si="80"/>
        <v>14</v>
      </c>
      <c r="N135" s="106">
        <f t="shared" si="80"/>
        <v>14</v>
      </c>
      <c r="O135" s="106">
        <f t="shared" si="80"/>
        <v>14</v>
      </c>
      <c r="P135" s="106">
        <f t="shared" si="80"/>
        <v>14</v>
      </c>
      <c r="Q135" s="112"/>
      <c r="R135" s="112"/>
    </row>
    <row r="136" spans="2:18" x14ac:dyDescent="0.25">
      <c r="B136" s="112"/>
      <c r="C136" s="105" t="s">
        <v>33</v>
      </c>
      <c r="D136" s="96">
        <f>+'POBLACION DEMANDANTE POTENCIAL'!D159*80%</f>
        <v>14.4</v>
      </c>
      <c r="E136" s="96">
        <f>ROUND(($D$136*(1+$A$7)^(E134-$D$134)),0)</f>
        <v>14</v>
      </c>
      <c r="F136" s="118">
        <f t="shared" ref="F136:P136" si="81">ROUND(($D$136*(1+$A$7)^(F134-$D$134)),0)</f>
        <v>14</v>
      </c>
      <c r="G136" s="118">
        <f t="shared" si="81"/>
        <v>14</v>
      </c>
      <c r="H136" s="142">
        <f t="shared" si="81"/>
        <v>14</v>
      </c>
      <c r="I136" s="142">
        <f t="shared" si="81"/>
        <v>14</v>
      </c>
      <c r="J136" s="142">
        <f t="shared" si="81"/>
        <v>14</v>
      </c>
      <c r="K136" s="142">
        <f t="shared" si="81"/>
        <v>14</v>
      </c>
      <c r="L136" s="142">
        <f t="shared" si="81"/>
        <v>14</v>
      </c>
      <c r="M136" s="142">
        <f t="shared" si="81"/>
        <v>14</v>
      </c>
      <c r="N136" s="142">
        <f t="shared" si="81"/>
        <v>14</v>
      </c>
      <c r="O136" s="142">
        <f t="shared" si="81"/>
        <v>14</v>
      </c>
      <c r="P136" s="142">
        <f t="shared" si="81"/>
        <v>14</v>
      </c>
      <c r="Q136" s="112"/>
      <c r="R136" s="112"/>
    </row>
    <row r="137" spans="2:18" x14ac:dyDescent="0.25">
      <c r="B137" s="256"/>
      <c r="C137" s="257"/>
      <c r="D137" s="258"/>
      <c r="E137" s="258"/>
      <c r="F137" s="25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65"/>
    </row>
    <row r="138" spans="2:18" x14ac:dyDescent="0.25">
      <c r="C138" s="252" t="s">
        <v>222</v>
      </c>
      <c r="D138" s="249" t="s">
        <v>143</v>
      </c>
      <c r="E138" s="250"/>
      <c r="F138" s="251"/>
      <c r="G138" s="255" t="s">
        <v>39</v>
      </c>
      <c r="H138" s="255"/>
      <c r="I138" s="255"/>
      <c r="J138" s="255"/>
      <c r="K138" s="255"/>
      <c r="L138" s="255"/>
      <c r="M138" s="255"/>
      <c r="N138" s="255"/>
      <c r="O138" s="255"/>
      <c r="P138" s="255"/>
    </row>
    <row r="139" spans="2:18" x14ac:dyDescent="0.25">
      <c r="C139" s="253"/>
      <c r="D139" s="239">
        <v>0</v>
      </c>
      <c r="E139" s="239"/>
      <c r="F139" s="239"/>
      <c r="G139" s="24">
        <v>1</v>
      </c>
      <c r="H139" s="25">
        <v>2</v>
      </c>
      <c r="I139" s="25">
        <v>3</v>
      </c>
      <c r="J139" s="25">
        <v>4</v>
      </c>
      <c r="K139" s="25">
        <v>5</v>
      </c>
      <c r="L139" s="25">
        <v>6</v>
      </c>
      <c r="M139" s="25">
        <v>7</v>
      </c>
      <c r="N139" s="25">
        <v>8</v>
      </c>
      <c r="O139" s="25">
        <v>9</v>
      </c>
      <c r="P139" s="24">
        <v>10</v>
      </c>
    </row>
    <row r="140" spans="2:18" x14ac:dyDescent="0.25">
      <c r="C140" s="254"/>
      <c r="D140" s="95">
        <v>2024</v>
      </c>
      <c r="E140" s="95">
        <v>2025</v>
      </c>
      <c r="F140" s="95">
        <v>2026</v>
      </c>
      <c r="G140" s="95">
        <v>2027</v>
      </c>
      <c r="H140" s="95">
        <v>2028</v>
      </c>
      <c r="I140" s="95">
        <v>2029</v>
      </c>
      <c r="J140" s="95">
        <v>2030</v>
      </c>
      <c r="K140" s="95">
        <v>2031</v>
      </c>
      <c r="L140" s="95">
        <v>2032</v>
      </c>
      <c r="M140" s="95">
        <v>2033</v>
      </c>
      <c r="N140" s="95">
        <v>2034</v>
      </c>
      <c r="O140" s="95">
        <v>2035</v>
      </c>
      <c r="P140" s="95">
        <v>2036</v>
      </c>
    </row>
    <row r="141" spans="2:18" x14ac:dyDescent="0.25">
      <c r="C141" s="28" t="s">
        <v>391</v>
      </c>
      <c r="D141" s="98">
        <f>+D142</f>
        <v>156.91199999999998</v>
      </c>
      <c r="E141" s="98">
        <f t="shared" ref="E141:P141" si="82">+E142</f>
        <v>157</v>
      </c>
      <c r="F141" s="98">
        <f t="shared" si="82"/>
        <v>157</v>
      </c>
      <c r="G141" s="106">
        <f t="shared" si="82"/>
        <v>157</v>
      </c>
      <c r="H141" s="106">
        <f t="shared" si="82"/>
        <v>157</v>
      </c>
      <c r="I141" s="106">
        <f t="shared" si="82"/>
        <v>157</v>
      </c>
      <c r="J141" s="106">
        <f t="shared" si="82"/>
        <v>157</v>
      </c>
      <c r="K141" s="106">
        <f t="shared" si="82"/>
        <v>157</v>
      </c>
      <c r="L141" s="106">
        <f t="shared" si="82"/>
        <v>157</v>
      </c>
      <c r="M141" s="106">
        <f t="shared" si="82"/>
        <v>157</v>
      </c>
      <c r="N141" s="106">
        <f t="shared" si="82"/>
        <v>157</v>
      </c>
      <c r="O141" s="106">
        <f t="shared" si="82"/>
        <v>157</v>
      </c>
      <c r="P141" s="106">
        <f t="shared" si="82"/>
        <v>157</v>
      </c>
    </row>
    <row r="142" spans="2:18" x14ac:dyDescent="0.25">
      <c r="C142" s="195" t="s">
        <v>393</v>
      </c>
      <c r="D142" s="94">
        <f>+'POBLACION DEMANDANTE POTENCIAL'!D165*70%</f>
        <v>156.91199999999998</v>
      </c>
      <c r="E142" s="94">
        <f t="shared" ref="E142:P142" si="83">ROUND(($D$142*(1+$A$51)^(E140-$D$140)),0)</f>
        <v>157</v>
      </c>
      <c r="F142" s="128">
        <f t="shared" si="83"/>
        <v>157</v>
      </c>
      <c r="G142" s="128">
        <f t="shared" si="83"/>
        <v>157</v>
      </c>
      <c r="H142" s="197">
        <f t="shared" si="83"/>
        <v>157</v>
      </c>
      <c r="I142" s="197">
        <f t="shared" si="83"/>
        <v>157</v>
      </c>
      <c r="J142" s="197">
        <f t="shared" si="83"/>
        <v>157</v>
      </c>
      <c r="K142" s="197">
        <f t="shared" si="83"/>
        <v>157</v>
      </c>
      <c r="L142" s="197">
        <f t="shared" si="83"/>
        <v>157</v>
      </c>
      <c r="M142" s="197">
        <f t="shared" si="83"/>
        <v>157</v>
      </c>
      <c r="N142" s="197">
        <f t="shared" si="83"/>
        <v>157</v>
      </c>
      <c r="O142" s="197">
        <f t="shared" si="83"/>
        <v>157</v>
      </c>
      <c r="P142" s="197">
        <f t="shared" si="83"/>
        <v>157</v>
      </c>
    </row>
    <row r="143" spans="2:18" x14ac:dyDescent="0.25">
      <c r="B143" s="256"/>
      <c r="C143" s="257"/>
      <c r="D143" s="258"/>
      <c r="E143" s="258"/>
      <c r="F143" s="25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</row>
    <row r="144" spans="2:18" x14ac:dyDescent="0.25">
      <c r="C144" s="252" t="s">
        <v>222</v>
      </c>
      <c r="D144" s="249" t="s">
        <v>143</v>
      </c>
      <c r="E144" s="250"/>
      <c r="F144" s="251"/>
      <c r="G144" s="255" t="s">
        <v>39</v>
      </c>
      <c r="H144" s="255"/>
      <c r="I144" s="255"/>
      <c r="J144" s="255"/>
      <c r="K144" s="255"/>
      <c r="L144" s="255"/>
      <c r="M144" s="255"/>
      <c r="N144" s="255"/>
      <c r="O144" s="255"/>
      <c r="P144" s="255"/>
    </row>
    <row r="145" spans="2:16" x14ac:dyDescent="0.25">
      <c r="C145" s="253"/>
      <c r="D145" s="239">
        <v>0</v>
      </c>
      <c r="E145" s="239"/>
      <c r="F145" s="239"/>
      <c r="G145" s="24">
        <v>1</v>
      </c>
      <c r="H145" s="25">
        <v>2</v>
      </c>
      <c r="I145" s="25">
        <v>3</v>
      </c>
      <c r="J145" s="25">
        <v>4</v>
      </c>
      <c r="K145" s="25">
        <v>5</v>
      </c>
      <c r="L145" s="25">
        <v>6</v>
      </c>
      <c r="M145" s="25">
        <v>7</v>
      </c>
      <c r="N145" s="25">
        <v>8</v>
      </c>
      <c r="O145" s="25">
        <v>9</v>
      </c>
      <c r="P145" s="24">
        <v>10</v>
      </c>
    </row>
    <row r="146" spans="2:16" x14ac:dyDescent="0.25">
      <c r="C146" s="254"/>
      <c r="D146" s="95">
        <v>2024</v>
      </c>
      <c r="E146" s="95">
        <v>2025</v>
      </c>
      <c r="F146" s="95">
        <v>2026</v>
      </c>
      <c r="G146" s="95">
        <v>2027</v>
      </c>
      <c r="H146" s="95">
        <v>2028</v>
      </c>
      <c r="I146" s="95">
        <v>2029</v>
      </c>
      <c r="J146" s="95">
        <v>2030</v>
      </c>
      <c r="K146" s="95">
        <v>2031</v>
      </c>
      <c r="L146" s="95">
        <v>2032</v>
      </c>
      <c r="M146" s="95">
        <v>2033</v>
      </c>
      <c r="N146" s="95">
        <v>2034</v>
      </c>
      <c r="O146" s="95">
        <v>2035</v>
      </c>
      <c r="P146" s="95">
        <v>2036</v>
      </c>
    </row>
    <row r="147" spans="2:16" x14ac:dyDescent="0.25">
      <c r="C147" s="28" t="s">
        <v>349</v>
      </c>
      <c r="D147" s="98">
        <f>+D148</f>
        <v>337.4</v>
      </c>
      <c r="E147" s="98">
        <f t="shared" ref="E147:P147" si="84">+E148</f>
        <v>338</v>
      </c>
      <c r="F147" s="98">
        <f t="shared" si="84"/>
        <v>338</v>
      </c>
      <c r="G147" s="106">
        <f t="shared" si="84"/>
        <v>338</v>
      </c>
      <c r="H147" s="106">
        <f t="shared" si="84"/>
        <v>338</v>
      </c>
      <c r="I147" s="106">
        <f t="shared" si="84"/>
        <v>338</v>
      </c>
      <c r="J147" s="106">
        <f t="shared" si="84"/>
        <v>338</v>
      </c>
      <c r="K147" s="106">
        <f t="shared" si="84"/>
        <v>338</v>
      </c>
      <c r="L147" s="106">
        <f t="shared" si="84"/>
        <v>338</v>
      </c>
      <c r="M147" s="106">
        <f t="shared" si="84"/>
        <v>338</v>
      </c>
      <c r="N147" s="106">
        <f t="shared" si="84"/>
        <v>338</v>
      </c>
      <c r="O147" s="106">
        <f t="shared" si="84"/>
        <v>339</v>
      </c>
      <c r="P147" s="106">
        <f t="shared" si="84"/>
        <v>339</v>
      </c>
    </row>
    <row r="148" spans="2:16" x14ac:dyDescent="0.25">
      <c r="C148" s="195" t="s">
        <v>397</v>
      </c>
      <c r="D148" s="94">
        <f>+'POBLACION DEMANDANTE POTENCIAL'!D171*70%</f>
        <v>337.4</v>
      </c>
      <c r="E148" s="94">
        <f t="shared" ref="E148:P148" si="85">ROUND(($D$148*(1+$A$7)^(E146-$D$146)),0)</f>
        <v>338</v>
      </c>
      <c r="F148" s="128">
        <f t="shared" si="85"/>
        <v>338</v>
      </c>
      <c r="G148" s="128">
        <f t="shared" si="85"/>
        <v>338</v>
      </c>
      <c r="H148" s="197">
        <f t="shared" si="85"/>
        <v>338</v>
      </c>
      <c r="I148" s="197">
        <f t="shared" si="85"/>
        <v>338</v>
      </c>
      <c r="J148" s="197">
        <f t="shared" si="85"/>
        <v>338</v>
      </c>
      <c r="K148" s="197">
        <f t="shared" si="85"/>
        <v>338</v>
      </c>
      <c r="L148" s="197">
        <f t="shared" si="85"/>
        <v>338</v>
      </c>
      <c r="M148" s="197">
        <f t="shared" si="85"/>
        <v>338</v>
      </c>
      <c r="N148" s="197">
        <f t="shared" si="85"/>
        <v>338</v>
      </c>
      <c r="O148" s="197">
        <f t="shared" si="85"/>
        <v>339</v>
      </c>
      <c r="P148" s="197">
        <f t="shared" si="85"/>
        <v>339</v>
      </c>
    </row>
    <row r="149" spans="2:16" x14ac:dyDescent="0.25">
      <c r="B149" s="256"/>
      <c r="C149" s="257"/>
      <c r="D149" s="258"/>
      <c r="E149" s="258"/>
      <c r="F149" s="25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</row>
    <row r="150" spans="2:16" x14ac:dyDescent="0.25">
      <c r="C150" s="252" t="s">
        <v>222</v>
      </c>
      <c r="D150" s="249" t="s">
        <v>143</v>
      </c>
      <c r="E150" s="250"/>
      <c r="F150" s="251"/>
      <c r="G150" s="255" t="s">
        <v>39</v>
      </c>
      <c r="H150" s="255"/>
      <c r="I150" s="255"/>
      <c r="J150" s="255"/>
      <c r="K150" s="255"/>
      <c r="L150" s="255"/>
      <c r="M150" s="255"/>
      <c r="N150" s="255"/>
      <c r="O150" s="255"/>
      <c r="P150" s="255"/>
    </row>
    <row r="151" spans="2:16" x14ac:dyDescent="0.25">
      <c r="C151" s="253"/>
      <c r="D151" s="239">
        <v>0</v>
      </c>
      <c r="E151" s="239"/>
      <c r="F151" s="239"/>
      <c r="G151" s="24">
        <v>1</v>
      </c>
      <c r="H151" s="25">
        <v>2</v>
      </c>
      <c r="I151" s="25">
        <v>3</v>
      </c>
      <c r="J151" s="25">
        <v>4</v>
      </c>
      <c r="K151" s="25">
        <v>5</v>
      </c>
      <c r="L151" s="25">
        <v>6</v>
      </c>
      <c r="M151" s="25">
        <v>7</v>
      </c>
      <c r="N151" s="25">
        <v>8</v>
      </c>
      <c r="O151" s="25">
        <v>9</v>
      </c>
      <c r="P151" s="24">
        <v>10</v>
      </c>
    </row>
    <row r="152" spans="2:16" x14ac:dyDescent="0.25">
      <c r="C152" s="254"/>
      <c r="D152" s="95">
        <v>2024</v>
      </c>
      <c r="E152" s="95">
        <v>2025</v>
      </c>
      <c r="F152" s="95">
        <v>2026</v>
      </c>
      <c r="G152" s="95">
        <v>2027</v>
      </c>
      <c r="H152" s="95">
        <v>2028</v>
      </c>
      <c r="I152" s="95">
        <v>2029</v>
      </c>
      <c r="J152" s="95">
        <v>2030</v>
      </c>
      <c r="K152" s="95">
        <v>2031</v>
      </c>
      <c r="L152" s="95">
        <v>2032</v>
      </c>
      <c r="M152" s="95">
        <v>2033</v>
      </c>
      <c r="N152" s="95">
        <v>2034</v>
      </c>
      <c r="O152" s="95">
        <v>2035</v>
      </c>
      <c r="P152" s="95">
        <v>2036</v>
      </c>
    </row>
    <row r="153" spans="2:16" x14ac:dyDescent="0.25">
      <c r="C153" s="28" t="s">
        <v>350</v>
      </c>
      <c r="D153" s="98">
        <f>+D154</f>
        <v>170.35199999999998</v>
      </c>
      <c r="E153" s="98">
        <f t="shared" ref="E153:P153" si="86">+E154</f>
        <v>170</v>
      </c>
      <c r="F153" s="98">
        <f t="shared" si="86"/>
        <v>170</v>
      </c>
      <c r="G153" s="106">
        <f t="shared" si="86"/>
        <v>170</v>
      </c>
      <c r="H153" s="106">
        <f t="shared" si="86"/>
        <v>170</v>
      </c>
      <c r="I153" s="106">
        <f t="shared" si="86"/>
        <v>170</v>
      </c>
      <c r="J153" s="106">
        <f t="shared" si="86"/>
        <v>170</v>
      </c>
      <c r="K153" s="106">
        <f t="shared" si="86"/>
        <v>170</v>
      </c>
      <c r="L153" s="106">
        <f t="shared" si="86"/>
        <v>170</v>
      </c>
      <c r="M153" s="106">
        <f t="shared" si="86"/>
        <v>170</v>
      </c>
      <c r="N153" s="106">
        <f t="shared" si="86"/>
        <v>170</v>
      </c>
      <c r="O153" s="106">
        <f t="shared" si="86"/>
        <v>170</v>
      </c>
      <c r="P153" s="106">
        <f t="shared" si="86"/>
        <v>170</v>
      </c>
    </row>
    <row r="154" spans="2:16" x14ac:dyDescent="0.25">
      <c r="C154" s="195" t="s">
        <v>392</v>
      </c>
      <c r="D154" s="94">
        <f>+'POBLACION DEMANDANTE POTENCIAL'!D177*70%</f>
        <v>170.35199999999998</v>
      </c>
      <c r="E154" s="94">
        <f>ROUND(($D$154*(1+$A$51)^(E152-$D$152)),0)</f>
        <v>170</v>
      </c>
      <c r="F154" s="128">
        <f t="shared" ref="F154:P154" si="87">ROUND(($D$154*(1+$A$51)^(F152-$D$152)),0)</f>
        <v>170</v>
      </c>
      <c r="G154" s="128">
        <f t="shared" si="87"/>
        <v>170</v>
      </c>
      <c r="H154" s="197">
        <f t="shared" si="87"/>
        <v>170</v>
      </c>
      <c r="I154" s="197">
        <f t="shared" si="87"/>
        <v>170</v>
      </c>
      <c r="J154" s="197">
        <f t="shared" si="87"/>
        <v>170</v>
      </c>
      <c r="K154" s="197">
        <f t="shared" si="87"/>
        <v>170</v>
      </c>
      <c r="L154" s="197">
        <f t="shared" si="87"/>
        <v>170</v>
      </c>
      <c r="M154" s="197">
        <f t="shared" si="87"/>
        <v>170</v>
      </c>
      <c r="N154" s="197">
        <f t="shared" si="87"/>
        <v>170</v>
      </c>
      <c r="O154" s="197">
        <f t="shared" si="87"/>
        <v>170</v>
      </c>
      <c r="P154" s="197">
        <f t="shared" si="87"/>
        <v>170</v>
      </c>
    </row>
    <row r="155" spans="2:16" x14ac:dyDescent="0.25">
      <c r="B155" s="256"/>
      <c r="C155" s="257"/>
      <c r="D155" s="258"/>
      <c r="E155" s="258"/>
      <c r="F155" s="25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</row>
    <row r="156" spans="2:16" x14ac:dyDescent="0.25">
      <c r="C156" s="252" t="s">
        <v>222</v>
      </c>
      <c r="D156" s="249" t="s">
        <v>143</v>
      </c>
      <c r="E156" s="250"/>
      <c r="F156" s="251"/>
      <c r="G156" s="255" t="s">
        <v>39</v>
      </c>
      <c r="H156" s="255"/>
      <c r="I156" s="255"/>
      <c r="J156" s="255"/>
      <c r="K156" s="255"/>
      <c r="L156" s="255"/>
      <c r="M156" s="255"/>
      <c r="N156" s="255"/>
      <c r="O156" s="255"/>
      <c r="P156" s="255"/>
    </row>
    <row r="157" spans="2:16" x14ac:dyDescent="0.25">
      <c r="C157" s="253"/>
      <c r="D157" s="239">
        <v>0</v>
      </c>
      <c r="E157" s="239"/>
      <c r="F157" s="239"/>
      <c r="G157" s="24">
        <v>1</v>
      </c>
      <c r="H157" s="25">
        <v>2</v>
      </c>
      <c r="I157" s="25">
        <v>3</v>
      </c>
      <c r="J157" s="25">
        <v>4</v>
      </c>
      <c r="K157" s="25">
        <v>5</v>
      </c>
      <c r="L157" s="25">
        <v>6</v>
      </c>
      <c r="M157" s="25">
        <v>7</v>
      </c>
      <c r="N157" s="25">
        <v>8</v>
      </c>
      <c r="O157" s="25">
        <v>9</v>
      </c>
      <c r="P157" s="24">
        <v>10</v>
      </c>
    </row>
    <row r="158" spans="2:16" x14ac:dyDescent="0.25">
      <c r="C158" s="254"/>
      <c r="D158" s="95">
        <v>2024</v>
      </c>
      <c r="E158" s="95">
        <v>2025</v>
      </c>
      <c r="F158" s="95">
        <v>2026</v>
      </c>
      <c r="G158" s="95">
        <v>2027</v>
      </c>
      <c r="H158" s="95">
        <v>2028</v>
      </c>
      <c r="I158" s="95">
        <v>2029</v>
      </c>
      <c r="J158" s="95">
        <v>2030</v>
      </c>
      <c r="K158" s="95">
        <v>2031</v>
      </c>
      <c r="L158" s="95">
        <v>2032</v>
      </c>
      <c r="M158" s="95">
        <v>2033</v>
      </c>
      <c r="N158" s="95">
        <v>2034</v>
      </c>
      <c r="O158" s="95">
        <v>2035</v>
      </c>
      <c r="P158" s="95">
        <v>2036</v>
      </c>
    </row>
    <row r="159" spans="2:16" x14ac:dyDescent="0.25">
      <c r="C159" s="28" t="s">
        <v>405</v>
      </c>
      <c r="D159" s="98">
        <f>+D160</f>
        <v>170.35199999999998</v>
      </c>
      <c r="E159" s="98">
        <f t="shared" ref="E159:P159" si="88">+E160</f>
        <v>170</v>
      </c>
      <c r="F159" s="98">
        <f t="shared" si="88"/>
        <v>170</v>
      </c>
      <c r="G159" s="106">
        <f t="shared" si="88"/>
        <v>171</v>
      </c>
      <c r="H159" s="106">
        <f t="shared" si="88"/>
        <v>171</v>
      </c>
      <c r="I159" s="106">
        <f t="shared" si="88"/>
        <v>171</v>
      </c>
      <c r="J159" s="106">
        <f t="shared" si="88"/>
        <v>171</v>
      </c>
      <c r="K159" s="106">
        <f t="shared" si="88"/>
        <v>171</v>
      </c>
      <c r="L159" s="106">
        <f t="shared" si="88"/>
        <v>171</v>
      </c>
      <c r="M159" s="106">
        <f t="shared" si="88"/>
        <v>171</v>
      </c>
      <c r="N159" s="106">
        <f t="shared" si="88"/>
        <v>171</v>
      </c>
      <c r="O159" s="106">
        <f t="shared" si="88"/>
        <v>171</v>
      </c>
      <c r="P159" s="106">
        <f t="shared" si="88"/>
        <v>171</v>
      </c>
    </row>
    <row r="160" spans="2:16" x14ac:dyDescent="0.25">
      <c r="C160" s="195" t="s">
        <v>392</v>
      </c>
      <c r="D160" s="94">
        <f>+'POBLACION DEMANDANTE POTENCIAL'!D183*70%</f>
        <v>170.35199999999998</v>
      </c>
      <c r="E160" s="94">
        <f t="shared" ref="E160:P160" si="89">ROUND(($D$160*(1+$A$7)^(E158-$D$158)),0)</f>
        <v>170</v>
      </c>
      <c r="F160" s="128">
        <f t="shared" si="89"/>
        <v>170</v>
      </c>
      <c r="G160" s="128">
        <f t="shared" si="89"/>
        <v>171</v>
      </c>
      <c r="H160" s="197">
        <f t="shared" si="89"/>
        <v>171</v>
      </c>
      <c r="I160" s="197">
        <f t="shared" si="89"/>
        <v>171</v>
      </c>
      <c r="J160" s="197">
        <f t="shared" si="89"/>
        <v>171</v>
      </c>
      <c r="K160" s="197">
        <f t="shared" si="89"/>
        <v>171</v>
      </c>
      <c r="L160" s="197">
        <f t="shared" si="89"/>
        <v>171</v>
      </c>
      <c r="M160" s="197">
        <f t="shared" si="89"/>
        <v>171</v>
      </c>
      <c r="N160" s="197">
        <f t="shared" si="89"/>
        <v>171</v>
      </c>
      <c r="O160" s="197">
        <f t="shared" si="89"/>
        <v>171</v>
      </c>
      <c r="P160" s="197">
        <f t="shared" si="89"/>
        <v>171</v>
      </c>
    </row>
    <row r="161" spans="2:16" x14ac:dyDescent="0.25">
      <c r="B161" s="256"/>
      <c r="C161" s="257"/>
      <c r="D161" s="258"/>
      <c r="E161" s="258"/>
      <c r="F161" s="25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</row>
    <row r="162" spans="2:16" x14ac:dyDescent="0.25">
      <c r="C162" s="252" t="s">
        <v>222</v>
      </c>
      <c r="D162" s="249" t="s">
        <v>143</v>
      </c>
      <c r="E162" s="250"/>
      <c r="F162" s="251"/>
      <c r="G162" s="255" t="s">
        <v>39</v>
      </c>
      <c r="H162" s="255"/>
      <c r="I162" s="255"/>
      <c r="J162" s="255"/>
      <c r="K162" s="255"/>
      <c r="L162" s="255"/>
      <c r="M162" s="255"/>
      <c r="N162" s="255"/>
      <c r="O162" s="255"/>
      <c r="P162" s="255"/>
    </row>
    <row r="163" spans="2:16" x14ac:dyDescent="0.25">
      <c r="C163" s="253"/>
      <c r="D163" s="239">
        <v>0</v>
      </c>
      <c r="E163" s="239"/>
      <c r="F163" s="239"/>
      <c r="G163" s="24">
        <v>1</v>
      </c>
      <c r="H163" s="25">
        <v>2</v>
      </c>
      <c r="I163" s="25">
        <v>3</v>
      </c>
      <c r="J163" s="25">
        <v>4</v>
      </c>
      <c r="K163" s="25">
        <v>5</v>
      </c>
      <c r="L163" s="25">
        <v>6</v>
      </c>
      <c r="M163" s="25">
        <v>7</v>
      </c>
      <c r="N163" s="25">
        <v>8</v>
      </c>
      <c r="O163" s="25">
        <v>9</v>
      </c>
      <c r="P163" s="24">
        <v>10</v>
      </c>
    </row>
    <row r="164" spans="2:16" x14ac:dyDescent="0.25">
      <c r="C164" s="254"/>
      <c r="D164" s="95">
        <v>2024</v>
      </c>
      <c r="E164" s="95">
        <v>2025</v>
      </c>
      <c r="F164" s="95">
        <v>2026</v>
      </c>
      <c r="G164" s="95">
        <v>2027</v>
      </c>
      <c r="H164" s="95">
        <v>2028</v>
      </c>
      <c r="I164" s="95">
        <v>2029</v>
      </c>
      <c r="J164" s="95">
        <v>2030</v>
      </c>
      <c r="K164" s="95">
        <v>2031</v>
      </c>
      <c r="L164" s="95">
        <v>2032</v>
      </c>
      <c r="M164" s="95">
        <v>2033</v>
      </c>
      <c r="N164" s="95">
        <v>2034</v>
      </c>
      <c r="O164" s="95">
        <v>2035</v>
      </c>
      <c r="P164" s="95">
        <v>2036</v>
      </c>
    </row>
    <row r="165" spans="2:16" x14ac:dyDescent="0.25">
      <c r="C165" s="28" t="s">
        <v>404</v>
      </c>
      <c r="D165" s="98">
        <f>+D166</f>
        <v>170.35199999999998</v>
      </c>
      <c r="E165" s="98">
        <f t="shared" ref="E165:P165" si="90">+E166</f>
        <v>170</v>
      </c>
      <c r="F165" s="98">
        <f t="shared" si="90"/>
        <v>170</v>
      </c>
      <c r="G165" s="106">
        <f t="shared" si="90"/>
        <v>170</v>
      </c>
      <c r="H165" s="106">
        <f t="shared" si="90"/>
        <v>170</v>
      </c>
      <c r="I165" s="106">
        <f t="shared" si="90"/>
        <v>170</v>
      </c>
      <c r="J165" s="106">
        <f t="shared" si="90"/>
        <v>170</v>
      </c>
      <c r="K165" s="106">
        <f t="shared" si="90"/>
        <v>170</v>
      </c>
      <c r="L165" s="106">
        <f t="shared" si="90"/>
        <v>170</v>
      </c>
      <c r="M165" s="106">
        <f t="shared" si="90"/>
        <v>170</v>
      </c>
      <c r="N165" s="106">
        <f t="shared" si="90"/>
        <v>170</v>
      </c>
      <c r="O165" s="106">
        <f t="shared" si="90"/>
        <v>170</v>
      </c>
      <c r="P165" s="106">
        <f t="shared" si="90"/>
        <v>170</v>
      </c>
    </row>
    <row r="166" spans="2:16" x14ac:dyDescent="0.25">
      <c r="C166" s="195" t="s">
        <v>392</v>
      </c>
      <c r="D166" s="94">
        <f>+'POBLACION DEMANDANTE POTENCIAL'!D189*70%</f>
        <v>170.35199999999998</v>
      </c>
      <c r="E166" s="94">
        <f t="shared" ref="E166:P166" si="91">ROUND(($D$166*(1+$A$51)^(E164-$D$164)),0)</f>
        <v>170</v>
      </c>
      <c r="F166" s="128">
        <f t="shared" si="91"/>
        <v>170</v>
      </c>
      <c r="G166" s="128">
        <f t="shared" si="91"/>
        <v>170</v>
      </c>
      <c r="H166" s="197">
        <f t="shared" si="91"/>
        <v>170</v>
      </c>
      <c r="I166" s="197">
        <f t="shared" si="91"/>
        <v>170</v>
      </c>
      <c r="J166" s="197">
        <f t="shared" si="91"/>
        <v>170</v>
      </c>
      <c r="K166" s="197">
        <f t="shared" si="91"/>
        <v>170</v>
      </c>
      <c r="L166" s="197">
        <f t="shared" si="91"/>
        <v>170</v>
      </c>
      <c r="M166" s="197">
        <f t="shared" si="91"/>
        <v>170</v>
      </c>
      <c r="N166" s="197">
        <f t="shared" si="91"/>
        <v>170</v>
      </c>
      <c r="O166" s="197">
        <f t="shared" si="91"/>
        <v>170</v>
      </c>
      <c r="P166" s="197">
        <f t="shared" si="91"/>
        <v>170</v>
      </c>
    </row>
    <row r="167" spans="2:16" x14ac:dyDescent="0.25">
      <c r="B167" s="256"/>
      <c r="C167" s="257"/>
      <c r="D167" s="258"/>
      <c r="E167" s="258"/>
      <c r="F167" s="25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</row>
    <row r="168" spans="2:16" x14ac:dyDescent="0.25">
      <c r="C168" s="252" t="s">
        <v>222</v>
      </c>
      <c r="D168" s="249" t="s">
        <v>143</v>
      </c>
      <c r="E168" s="250"/>
      <c r="F168" s="251"/>
      <c r="G168" s="255" t="s">
        <v>39</v>
      </c>
      <c r="H168" s="255"/>
      <c r="I168" s="255"/>
      <c r="J168" s="255"/>
      <c r="K168" s="255"/>
      <c r="L168" s="255"/>
      <c r="M168" s="255"/>
      <c r="N168" s="255"/>
      <c r="O168" s="255"/>
      <c r="P168" s="255"/>
    </row>
    <row r="169" spans="2:16" x14ac:dyDescent="0.25">
      <c r="C169" s="253"/>
      <c r="D169" s="239">
        <v>0</v>
      </c>
      <c r="E169" s="239"/>
      <c r="F169" s="239"/>
      <c r="G169" s="24">
        <v>1</v>
      </c>
      <c r="H169" s="25">
        <v>2</v>
      </c>
      <c r="I169" s="25">
        <v>3</v>
      </c>
      <c r="J169" s="25">
        <v>4</v>
      </c>
      <c r="K169" s="25">
        <v>5</v>
      </c>
      <c r="L169" s="25">
        <v>6</v>
      </c>
      <c r="M169" s="25">
        <v>7</v>
      </c>
      <c r="N169" s="25">
        <v>8</v>
      </c>
      <c r="O169" s="25">
        <v>9</v>
      </c>
      <c r="P169" s="24">
        <v>10</v>
      </c>
    </row>
    <row r="170" spans="2:16" x14ac:dyDescent="0.25">
      <c r="C170" s="254"/>
      <c r="D170" s="95">
        <v>2024</v>
      </c>
      <c r="E170" s="95">
        <v>2025</v>
      </c>
      <c r="F170" s="95">
        <v>2026</v>
      </c>
      <c r="G170" s="95">
        <v>2027</v>
      </c>
      <c r="H170" s="95">
        <v>2028</v>
      </c>
      <c r="I170" s="95">
        <v>2029</v>
      </c>
      <c r="J170" s="95">
        <v>2030</v>
      </c>
      <c r="K170" s="95">
        <v>2031</v>
      </c>
      <c r="L170" s="95">
        <v>2032</v>
      </c>
      <c r="M170" s="95">
        <v>2033</v>
      </c>
      <c r="N170" s="95">
        <v>2034</v>
      </c>
      <c r="O170" s="95">
        <v>2035</v>
      </c>
      <c r="P170" s="95">
        <v>2036</v>
      </c>
    </row>
    <row r="171" spans="2:16" x14ac:dyDescent="0.25">
      <c r="C171" s="28" t="s">
        <v>403</v>
      </c>
      <c r="D171" s="98">
        <f>+D172</f>
        <v>170.35199999999998</v>
      </c>
      <c r="E171" s="98">
        <f t="shared" ref="E171:P171" si="92">+E172</f>
        <v>170</v>
      </c>
      <c r="F171" s="98">
        <f t="shared" si="92"/>
        <v>170</v>
      </c>
      <c r="G171" s="106">
        <f t="shared" si="92"/>
        <v>170</v>
      </c>
      <c r="H171" s="106">
        <f t="shared" si="92"/>
        <v>170</v>
      </c>
      <c r="I171" s="106">
        <f t="shared" si="92"/>
        <v>170</v>
      </c>
      <c r="J171" s="106">
        <f t="shared" si="92"/>
        <v>170</v>
      </c>
      <c r="K171" s="106">
        <f t="shared" si="92"/>
        <v>170</v>
      </c>
      <c r="L171" s="106">
        <f t="shared" si="92"/>
        <v>170</v>
      </c>
      <c r="M171" s="106">
        <f t="shared" si="92"/>
        <v>170</v>
      </c>
      <c r="N171" s="106">
        <f t="shared" si="92"/>
        <v>170</v>
      </c>
      <c r="O171" s="106">
        <f t="shared" si="92"/>
        <v>170</v>
      </c>
      <c r="P171" s="106">
        <f t="shared" si="92"/>
        <v>170</v>
      </c>
    </row>
    <row r="172" spans="2:16" x14ac:dyDescent="0.25">
      <c r="C172" s="195" t="s">
        <v>392</v>
      </c>
      <c r="D172" s="94">
        <f>+'POBLACION DEMANDANTE POTENCIAL'!D195*70%</f>
        <v>170.35199999999998</v>
      </c>
      <c r="E172" s="94">
        <f t="shared" ref="E172:P172" si="93">ROUND(($D$172*(1+$A$51)^(E170-$D$170)),0)</f>
        <v>170</v>
      </c>
      <c r="F172" s="128">
        <f t="shared" si="93"/>
        <v>170</v>
      </c>
      <c r="G172" s="128">
        <f t="shared" si="93"/>
        <v>170</v>
      </c>
      <c r="H172" s="197">
        <f t="shared" si="93"/>
        <v>170</v>
      </c>
      <c r="I172" s="197">
        <f t="shared" si="93"/>
        <v>170</v>
      </c>
      <c r="J172" s="197">
        <f t="shared" si="93"/>
        <v>170</v>
      </c>
      <c r="K172" s="197">
        <f t="shared" si="93"/>
        <v>170</v>
      </c>
      <c r="L172" s="197">
        <f t="shared" si="93"/>
        <v>170</v>
      </c>
      <c r="M172" s="197">
        <f t="shared" si="93"/>
        <v>170</v>
      </c>
      <c r="N172" s="197">
        <f t="shared" si="93"/>
        <v>170</v>
      </c>
      <c r="O172" s="197">
        <f t="shared" si="93"/>
        <v>170</v>
      </c>
      <c r="P172" s="197">
        <f t="shared" si="93"/>
        <v>170</v>
      </c>
    </row>
    <row r="173" spans="2:16" x14ac:dyDescent="0.25">
      <c r="B173" s="256"/>
      <c r="C173" s="257"/>
      <c r="D173" s="258"/>
      <c r="E173" s="258"/>
      <c r="F173" s="25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</row>
    <row r="174" spans="2:16" x14ac:dyDescent="0.25">
      <c r="C174" s="252" t="s">
        <v>222</v>
      </c>
      <c r="D174" s="249" t="s">
        <v>143</v>
      </c>
      <c r="E174" s="250"/>
      <c r="F174" s="251"/>
      <c r="G174" s="255" t="s">
        <v>39</v>
      </c>
      <c r="H174" s="255"/>
      <c r="I174" s="255"/>
      <c r="J174" s="255"/>
      <c r="K174" s="255"/>
      <c r="L174" s="255"/>
      <c r="M174" s="255"/>
      <c r="N174" s="255"/>
      <c r="O174" s="255"/>
      <c r="P174" s="255"/>
    </row>
    <row r="175" spans="2:16" x14ac:dyDescent="0.25">
      <c r="C175" s="253"/>
      <c r="D175" s="239">
        <v>0</v>
      </c>
      <c r="E175" s="239"/>
      <c r="F175" s="239"/>
      <c r="G175" s="24">
        <v>1</v>
      </c>
      <c r="H175" s="25">
        <v>2</v>
      </c>
      <c r="I175" s="25">
        <v>3</v>
      </c>
      <c r="J175" s="25">
        <v>4</v>
      </c>
      <c r="K175" s="25">
        <v>5</v>
      </c>
      <c r="L175" s="25">
        <v>6</v>
      </c>
      <c r="M175" s="25">
        <v>7</v>
      </c>
      <c r="N175" s="25">
        <v>8</v>
      </c>
      <c r="O175" s="25">
        <v>9</v>
      </c>
      <c r="P175" s="24">
        <v>10</v>
      </c>
    </row>
    <row r="176" spans="2:16" x14ac:dyDescent="0.25">
      <c r="C176" s="254"/>
      <c r="D176" s="95">
        <v>2024</v>
      </c>
      <c r="E176" s="95">
        <v>2025</v>
      </c>
      <c r="F176" s="95">
        <v>2026</v>
      </c>
      <c r="G176" s="95">
        <v>2027</v>
      </c>
      <c r="H176" s="95">
        <v>2028</v>
      </c>
      <c r="I176" s="95">
        <v>2029</v>
      </c>
      <c r="J176" s="95">
        <v>2030</v>
      </c>
      <c r="K176" s="95">
        <v>2031</v>
      </c>
      <c r="L176" s="95">
        <v>2032</v>
      </c>
      <c r="M176" s="95">
        <v>2033</v>
      </c>
      <c r="N176" s="95">
        <v>2034</v>
      </c>
      <c r="O176" s="95">
        <v>2035</v>
      </c>
      <c r="P176" s="95">
        <v>2036</v>
      </c>
    </row>
    <row r="177" spans="2:16" x14ac:dyDescent="0.25">
      <c r="C177" s="28" t="s">
        <v>402</v>
      </c>
      <c r="D177" s="98">
        <f>+D178</f>
        <v>170.35199999999998</v>
      </c>
      <c r="E177" s="98">
        <f t="shared" ref="E177:P177" si="94">+E178</f>
        <v>170</v>
      </c>
      <c r="F177" s="98">
        <f t="shared" si="94"/>
        <v>170</v>
      </c>
      <c r="G177" s="106">
        <f t="shared" si="94"/>
        <v>170</v>
      </c>
      <c r="H177" s="106">
        <f t="shared" si="94"/>
        <v>170</v>
      </c>
      <c r="I177" s="106">
        <f t="shared" si="94"/>
        <v>170</v>
      </c>
      <c r="J177" s="106">
        <f t="shared" si="94"/>
        <v>170</v>
      </c>
      <c r="K177" s="106">
        <f t="shared" si="94"/>
        <v>170</v>
      </c>
      <c r="L177" s="106">
        <f t="shared" si="94"/>
        <v>170</v>
      </c>
      <c r="M177" s="106">
        <f t="shared" si="94"/>
        <v>170</v>
      </c>
      <c r="N177" s="106">
        <f t="shared" si="94"/>
        <v>170</v>
      </c>
      <c r="O177" s="106">
        <f t="shared" si="94"/>
        <v>170</v>
      </c>
      <c r="P177" s="106">
        <f t="shared" si="94"/>
        <v>170</v>
      </c>
    </row>
    <row r="178" spans="2:16" x14ac:dyDescent="0.25">
      <c r="C178" s="195" t="s">
        <v>392</v>
      </c>
      <c r="D178" s="94">
        <f>+'POBLACION DEMANDANTE POTENCIAL'!D201*70%</f>
        <v>170.35199999999998</v>
      </c>
      <c r="E178" s="94">
        <f t="shared" ref="E178:P178" si="95">ROUND(($D$178*(1+$A$51)^(E176-$D$176)),0)</f>
        <v>170</v>
      </c>
      <c r="F178" s="128">
        <f t="shared" si="95"/>
        <v>170</v>
      </c>
      <c r="G178" s="128">
        <f t="shared" si="95"/>
        <v>170</v>
      </c>
      <c r="H178" s="197">
        <f t="shared" si="95"/>
        <v>170</v>
      </c>
      <c r="I178" s="197">
        <f t="shared" si="95"/>
        <v>170</v>
      </c>
      <c r="J178" s="197">
        <f t="shared" si="95"/>
        <v>170</v>
      </c>
      <c r="K178" s="197">
        <f t="shared" si="95"/>
        <v>170</v>
      </c>
      <c r="L178" s="197">
        <f t="shared" si="95"/>
        <v>170</v>
      </c>
      <c r="M178" s="197">
        <f t="shared" si="95"/>
        <v>170</v>
      </c>
      <c r="N178" s="197">
        <f t="shared" si="95"/>
        <v>170</v>
      </c>
      <c r="O178" s="197">
        <f t="shared" si="95"/>
        <v>170</v>
      </c>
      <c r="P178" s="197">
        <f t="shared" si="95"/>
        <v>170</v>
      </c>
    </row>
    <row r="179" spans="2:16" x14ac:dyDescent="0.25">
      <c r="B179" s="256"/>
      <c r="C179" s="257"/>
      <c r="D179" s="258"/>
      <c r="E179" s="258"/>
      <c r="F179" s="25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</row>
  </sheetData>
  <mergeCells count="100">
    <mergeCell ref="C29:C31"/>
    <mergeCell ref="D29:F29"/>
    <mergeCell ref="G29:P29"/>
    <mergeCell ref="D30:F30"/>
    <mergeCell ref="D6:F6"/>
    <mergeCell ref="C52:C54"/>
    <mergeCell ref="D52:F52"/>
    <mergeCell ref="G52:P52"/>
    <mergeCell ref="D53:F53"/>
    <mergeCell ref="C50:P50"/>
    <mergeCell ref="B51:Q51"/>
    <mergeCell ref="C5:C7"/>
    <mergeCell ref="D5:F5"/>
    <mergeCell ref="G5:P5"/>
    <mergeCell ref="C11:C13"/>
    <mergeCell ref="D11:F11"/>
    <mergeCell ref="G11:P11"/>
    <mergeCell ref="D12:F12"/>
    <mergeCell ref="C17:C19"/>
    <mergeCell ref="G17:P17"/>
    <mergeCell ref="D18:F18"/>
    <mergeCell ref="D17:F17"/>
    <mergeCell ref="C86:C88"/>
    <mergeCell ref="G86:P86"/>
    <mergeCell ref="D87:F87"/>
    <mergeCell ref="D64:F64"/>
    <mergeCell ref="B62:P62"/>
    <mergeCell ref="C64:C66"/>
    <mergeCell ref="G64:P64"/>
    <mergeCell ref="D65:F65"/>
    <mergeCell ref="G39:P39"/>
    <mergeCell ref="D40:F40"/>
    <mergeCell ref="D75:F75"/>
    <mergeCell ref="B74:R74"/>
    <mergeCell ref="C75:C77"/>
    <mergeCell ref="G75:P75"/>
    <mergeCell ref="D76:F76"/>
    <mergeCell ref="C39:C41"/>
    <mergeCell ref="D39:F39"/>
    <mergeCell ref="D86:F86"/>
    <mergeCell ref="B85:R85"/>
    <mergeCell ref="D98:F98"/>
    <mergeCell ref="C97:C99"/>
    <mergeCell ref="D97:F97"/>
    <mergeCell ref="G97:P97"/>
    <mergeCell ref="D157:F157"/>
    <mergeCell ref="D151:F151"/>
    <mergeCell ref="C150:C152"/>
    <mergeCell ref="D150:F150"/>
    <mergeCell ref="G150:P150"/>
    <mergeCell ref="D139:F139"/>
    <mergeCell ref="C138:C140"/>
    <mergeCell ref="D138:F138"/>
    <mergeCell ref="G138:P138"/>
    <mergeCell ref="B155:P155"/>
    <mergeCell ref="C156:C158"/>
    <mergeCell ref="D156:F156"/>
    <mergeCell ref="G156:P156"/>
    <mergeCell ref="B131:Q131"/>
    <mergeCell ref="C132:C134"/>
    <mergeCell ref="D132:F132"/>
    <mergeCell ref="G132:P132"/>
    <mergeCell ref="B137:Q137"/>
    <mergeCell ref="B107:Q107"/>
    <mergeCell ref="C108:C110"/>
    <mergeCell ref="D108:F108"/>
    <mergeCell ref="G108:P108"/>
    <mergeCell ref="C114:C116"/>
    <mergeCell ref="D114:F114"/>
    <mergeCell ref="G114:P114"/>
    <mergeCell ref="D133:F133"/>
    <mergeCell ref="C121:C123"/>
    <mergeCell ref="D121:F121"/>
    <mergeCell ref="G121:P121"/>
    <mergeCell ref="D122:F122"/>
    <mergeCell ref="B120:Q120"/>
    <mergeCell ref="D115:F115"/>
    <mergeCell ref="D109:F109"/>
    <mergeCell ref="B161:P161"/>
    <mergeCell ref="B143:P143"/>
    <mergeCell ref="C144:C146"/>
    <mergeCell ref="D144:F144"/>
    <mergeCell ref="G144:P144"/>
    <mergeCell ref="B149:P149"/>
    <mergeCell ref="D145:F145"/>
    <mergeCell ref="B173:P173"/>
    <mergeCell ref="C174:C176"/>
    <mergeCell ref="D174:F174"/>
    <mergeCell ref="G174:P174"/>
    <mergeCell ref="D175:F175"/>
    <mergeCell ref="C162:C164"/>
    <mergeCell ref="D162:F162"/>
    <mergeCell ref="G162:P162"/>
    <mergeCell ref="B167:P167"/>
    <mergeCell ref="C168:C170"/>
    <mergeCell ref="D168:F168"/>
    <mergeCell ref="G168:P168"/>
    <mergeCell ref="D169:F169"/>
    <mergeCell ref="D163:F163"/>
    <mergeCell ref="B179:P17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11"/>
  <sheetViews>
    <sheetView workbookViewId="0">
      <selection activeCell="A310" sqref="A310:XFD329"/>
    </sheetView>
  </sheetViews>
  <sheetFormatPr baseColWidth="10" defaultRowHeight="15" x14ac:dyDescent="0.25"/>
  <cols>
    <col min="1" max="1" width="12.42578125" customWidth="1"/>
    <col min="2" max="2" width="14.85546875" customWidth="1"/>
    <col min="3" max="3" width="28.5703125" customWidth="1"/>
    <col min="4" max="4" width="18" customWidth="1"/>
    <col min="5" max="5" width="11.42578125" customWidth="1"/>
  </cols>
  <sheetData>
    <row r="1" spans="1:18" x14ac:dyDescent="0.25">
      <c r="A1" s="129">
        <f>+Hoja3!C23</f>
        <v>1.9E-3</v>
      </c>
      <c r="B1" s="227" t="s">
        <v>41</v>
      </c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130"/>
      <c r="O1" s="130"/>
      <c r="P1" s="130"/>
    </row>
    <row r="2" spans="1:18" x14ac:dyDescent="0.25">
      <c r="A2" s="129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0"/>
      <c r="O2" s="130"/>
      <c r="P2" s="130"/>
    </row>
    <row r="3" spans="1:18" x14ac:dyDescent="0.25">
      <c r="B3" s="125"/>
      <c r="C3" s="275" t="s">
        <v>433</v>
      </c>
      <c r="D3" s="276"/>
      <c r="E3" s="276"/>
      <c r="F3" s="276"/>
      <c r="G3" s="130"/>
      <c r="H3" s="130"/>
      <c r="I3" s="227"/>
      <c r="J3" s="227"/>
      <c r="K3" s="227"/>
      <c r="L3" s="227"/>
      <c r="M3" s="130"/>
      <c r="N3" s="130"/>
      <c r="O3" s="130"/>
      <c r="P3" s="130"/>
      <c r="Q3" s="130"/>
    </row>
    <row r="4" spans="1:18" ht="41.25" customHeight="1" x14ac:dyDescent="0.25">
      <c r="B4" s="130"/>
      <c r="C4" s="20" t="s">
        <v>30</v>
      </c>
      <c r="D4" s="20" t="s">
        <v>31</v>
      </c>
      <c r="E4" s="249" t="s">
        <v>445</v>
      </c>
      <c r="F4" s="251"/>
      <c r="G4" s="130"/>
      <c r="H4" s="130"/>
      <c r="I4" s="130"/>
      <c r="J4" s="13"/>
      <c r="K4" s="13"/>
      <c r="L4" s="130"/>
      <c r="M4" s="130"/>
      <c r="N4" s="130"/>
      <c r="O4" s="130"/>
      <c r="P4" s="130"/>
      <c r="Q4" s="130"/>
    </row>
    <row r="5" spans="1:18" x14ac:dyDescent="0.25">
      <c r="B5" s="130"/>
      <c r="C5" s="28" t="s">
        <v>434</v>
      </c>
      <c r="D5" s="204" t="str">
        <f>+C11</f>
        <v xml:space="preserve"> 0 a 85 años a mas</v>
      </c>
      <c r="E5" s="278">
        <v>2</v>
      </c>
      <c r="F5" s="279"/>
      <c r="G5" s="130"/>
      <c r="H5" s="130"/>
      <c r="I5" s="130"/>
      <c r="J5" s="13"/>
      <c r="K5" s="13"/>
      <c r="L5" s="130"/>
      <c r="M5" s="130"/>
      <c r="N5" s="130"/>
      <c r="O5" s="130"/>
      <c r="P5" s="130"/>
      <c r="Q5" s="130"/>
    </row>
    <row r="6" spans="1:18" x14ac:dyDescent="0.25">
      <c r="A6" s="129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30"/>
      <c r="O6" s="130"/>
      <c r="P6" s="130"/>
    </row>
    <row r="7" spans="1:18" x14ac:dyDescent="0.25">
      <c r="C7" s="252" t="s">
        <v>38</v>
      </c>
      <c r="D7" s="249" t="s">
        <v>143</v>
      </c>
      <c r="E7" s="250"/>
      <c r="F7" s="251"/>
      <c r="G7" s="255" t="s">
        <v>39</v>
      </c>
      <c r="H7" s="255"/>
      <c r="I7" s="255"/>
      <c r="J7" s="255"/>
      <c r="K7" s="255"/>
      <c r="L7" s="255"/>
      <c r="M7" s="255"/>
      <c r="N7" s="255"/>
      <c r="O7" s="255"/>
      <c r="P7" s="255"/>
      <c r="Q7" s="17"/>
      <c r="R7" s="17"/>
    </row>
    <row r="8" spans="1:18" x14ac:dyDescent="0.25">
      <c r="C8" s="253"/>
      <c r="D8" s="239">
        <v>0</v>
      </c>
      <c r="E8" s="239"/>
      <c r="F8" s="239"/>
      <c r="G8" s="24">
        <v>1</v>
      </c>
      <c r="H8" s="25">
        <v>2</v>
      </c>
      <c r="I8" s="25">
        <v>3</v>
      </c>
      <c r="J8" s="25">
        <v>4</v>
      </c>
      <c r="K8" s="25">
        <v>5</v>
      </c>
      <c r="L8" s="25">
        <v>6</v>
      </c>
      <c r="M8" s="25">
        <v>7</v>
      </c>
      <c r="N8" s="25">
        <v>8</v>
      </c>
      <c r="O8" s="25">
        <v>9</v>
      </c>
      <c r="P8" s="24">
        <v>10</v>
      </c>
    </row>
    <row r="9" spans="1:18" x14ac:dyDescent="0.25">
      <c r="A9">
        <f>+'POBLACION DEMANDANTE EFECTIVA'!A7</f>
        <v>2.9999999999999997E-4</v>
      </c>
      <c r="C9" s="254"/>
      <c r="D9" s="95">
        <v>2024</v>
      </c>
      <c r="E9" s="95">
        <v>2025</v>
      </c>
      <c r="F9" s="95">
        <v>2026</v>
      </c>
      <c r="G9" s="95">
        <v>2027</v>
      </c>
      <c r="H9" s="95">
        <v>2028</v>
      </c>
      <c r="I9" s="95">
        <v>2029</v>
      </c>
      <c r="J9" s="95">
        <v>2030</v>
      </c>
      <c r="K9" s="95">
        <v>2031</v>
      </c>
      <c r="L9" s="95">
        <v>2032</v>
      </c>
      <c r="M9" s="95">
        <v>2033</v>
      </c>
      <c r="N9" s="95">
        <v>2034</v>
      </c>
      <c r="O9" s="95">
        <v>2035</v>
      </c>
      <c r="P9" s="95">
        <v>2036</v>
      </c>
    </row>
    <row r="10" spans="1:18" x14ac:dyDescent="0.25">
      <c r="C10" s="28" t="s">
        <v>347</v>
      </c>
      <c r="D10" s="116">
        <f>+D11</f>
        <v>340.70399999999995</v>
      </c>
      <c r="E10" s="116">
        <f t="shared" ref="E10:P10" si="0">+E11</f>
        <v>341</v>
      </c>
      <c r="F10" s="116">
        <f t="shared" si="0"/>
        <v>341</v>
      </c>
      <c r="G10" s="116">
        <f t="shared" si="0"/>
        <v>341</v>
      </c>
      <c r="H10" s="116">
        <f t="shared" si="0"/>
        <v>341</v>
      </c>
      <c r="I10" s="116">
        <f t="shared" si="0"/>
        <v>341</v>
      </c>
      <c r="J10" s="116">
        <f t="shared" si="0"/>
        <v>341</v>
      </c>
      <c r="K10" s="116">
        <f t="shared" si="0"/>
        <v>341</v>
      </c>
      <c r="L10" s="116">
        <f t="shared" si="0"/>
        <v>342</v>
      </c>
      <c r="M10" s="116">
        <f t="shared" si="0"/>
        <v>342</v>
      </c>
      <c r="N10" s="116">
        <f t="shared" si="0"/>
        <v>342</v>
      </c>
      <c r="O10" s="116">
        <f t="shared" si="0"/>
        <v>342</v>
      </c>
      <c r="P10" s="116">
        <f t="shared" si="0"/>
        <v>342</v>
      </c>
    </row>
    <row r="11" spans="1:18" x14ac:dyDescent="0.25">
      <c r="C11" s="182" t="s">
        <v>431</v>
      </c>
      <c r="D11" s="183">
        <f>+'POBLACION DEMANDANTE EFECTIVA'!D9*E5</f>
        <v>340.70399999999995</v>
      </c>
      <c r="E11" s="183">
        <f t="shared" ref="E11:P11" si="1">ROUND(($D$11*(1+$A$9)^(E9-$D$9)),0)</f>
        <v>341</v>
      </c>
      <c r="F11" s="183">
        <f t="shared" si="1"/>
        <v>341</v>
      </c>
      <c r="G11" s="183">
        <f t="shared" si="1"/>
        <v>341</v>
      </c>
      <c r="H11" s="183">
        <f t="shared" si="1"/>
        <v>341</v>
      </c>
      <c r="I11" s="183">
        <f t="shared" si="1"/>
        <v>341</v>
      </c>
      <c r="J11" s="183">
        <f t="shared" si="1"/>
        <v>341</v>
      </c>
      <c r="K11" s="183">
        <f t="shared" si="1"/>
        <v>341</v>
      </c>
      <c r="L11" s="183">
        <f t="shared" si="1"/>
        <v>342</v>
      </c>
      <c r="M11" s="183">
        <f t="shared" si="1"/>
        <v>342</v>
      </c>
      <c r="N11" s="183">
        <f t="shared" si="1"/>
        <v>342</v>
      </c>
      <c r="O11" s="183">
        <f t="shared" si="1"/>
        <v>342</v>
      </c>
      <c r="P11" s="183">
        <f t="shared" si="1"/>
        <v>342</v>
      </c>
    </row>
    <row r="12" spans="1:18" x14ac:dyDescent="0.25">
      <c r="A12" s="129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30"/>
      <c r="O12" s="130"/>
      <c r="P12" s="130"/>
    </row>
    <row r="13" spans="1:18" x14ac:dyDescent="0.25">
      <c r="B13" s="125"/>
      <c r="C13" s="284" t="s">
        <v>433</v>
      </c>
      <c r="D13" s="286"/>
      <c r="E13" s="286"/>
      <c r="F13" s="286"/>
      <c r="G13" s="130"/>
      <c r="H13" s="130"/>
      <c r="I13" s="227"/>
      <c r="J13" s="227"/>
      <c r="K13" s="227"/>
      <c r="L13" s="227"/>
      <c r="M13" s="130"/>
      <c r="N13" s="130"/>
      <c r="O13" s="130"/>
      <c r="P13" s="130"/>
      <c r="Q13" s="130"/>
    </row>
    <row r="14" spans="1:18" ht="42" customHeight="1" x14ac:dyDescent="0.25">
      <c r="B14" s="130"/>
      <c r="C14" s="20" t="s">
        <v>30</v>
      </c>
      <c r="D14" s="20" t="s">
        <v>31</v>
      </c>
      <c r="E14" s="249" t="s">
        <v>445</v>
      </c>
      <c r="F14" s="251"/>
      <c r="G14" s="130"/>
      <c r="H14" s="130"/>
      <c r="I14" s="130"/>
      <c r="J14" s="13"/>
      <c r="K14" s="13"/>
      <c r="L14" s="130"/>
      <c r="M14" s="130"/>
      <c r="N14" s="130"/>
      <c r="O14" s="130"/>
      <c r="P14" s="130"/>
      <c r="Q14" s="130"/>
    </row>
    <row r="15" spans="1:18" ht="27" customHeight="1" x14ac:dyDescent="0.25">
      <c r="B15" s="130"/>
      <c r="C15" s="28" t="s">
        <v>435</v>
      </c>
      <c r="D15" s="204" t="str">
        <f>+C21</f>
        <v>0 a 85 años a mas</v>
      </c>
      <c r="E15" s="278">
        <v>1</v>
      </c>
      <c r="F15" s="279"/>
      <c r="G15" s="130"/>
      <c r="H15" s="130"/>
      <c r="I15" s="130"/>
      <c r="J15" s="13"/>
      <c r="K15" s="13"/>
      <c r="L15" s="130"/>
      <c r="M15" s="130"/>
      <c r="N15" s="130"/>
      <c r="O15" s="130"/>
      <c r="P15" s="130"/>
      <c r="Q15" s="130"/>
    </row>
    <row r="17" spans="2:18" x14ac:dyDescent="0.25">
      <c r="C17" s="252" t="s">
        <v>38</v>
      </c>
      <c r="D17" s="249" t="s">
        <v>143</v>
      </c>
      <c r="E17" s="250"/>
      <c r="F17" s="251"/>
      <c r="G17" s="255" t="s">
        <v>39</v>
      </c>
      <c r="H17" s="255"/>
      <c r="I17" s="255"/>
      <c r="J17" s="255"/>
      <c r="K17" s="255"/>
      <c r="L17" s="255"/>
      <c r="M17" s="255"/>
      <c r="N17" s="255"/>
      <c r="O17" s="255"/>
      <c r="P17" s="255"/>
      <c r="Q17" s="17"/>
      <c r="R17" s="17"/>
    </row>
    <row r="18" spans="2:18" x14ac:dyDescent="0.25">
      <c r="C18" s="253"/>
      <c r="D18" s="239">
        <v>0</v>
      </c>
      <c r="E18" s="239"/>
      <c r="F18" s="239"/>
      <c r="G18" s="24">
        <v>1</v>
      </c>
      <c r="H18" s="25">
        <v>2</v>
      </c>
      <c r="I18" s="25">
        <v>3</v>
      </c>
      <c r="J18" s="25">
        <v>4</v>
      </c>
      <c r="K18" s="25">
        <v>5</v>
      </c>
      <c r="L18" s="25">
        <v>6</v>
      </c>
      <c r="M18" s="25">
        <v>7</v>
      </c>
      <c r="N18" s="25">
        <v>8</v>
      </c>
      <c r="O18" s="25">
        <v>9</v>
      </c>
      <c r="P18" s="24">
        <v>10</v>
      </c>
    </row>
    <row r="19" spans="2:18" x14ac:dyDescent="0.25">
      <c r="C19" s="254"/>
      <c r="D19" s="95">
        <v>2024</v>
      </c>
      <c r="E19" s="95">
        <v>2025</v>
      </c>
      <c r="F19" s="95">
        <v>2026</v>
      </c>
      <c r="G19" s="95">
        <v>2027</v>
      </c>
      <c r="H19" s="95">
        <v>2028</v>
      </c>
      <c r="I19" s="95">
        <v>2029</v>
      </c>
      <c r="J19" s="95">
        <v>2030</v>
      </c>
      <c r="K19" s="95">
        <v>2031</v>
      </c>
      <c r="L19" s="95">
        <v>2032</v>
      </c>
      <c r="M19" s="95">
        <v>2033</v>
      </c>
      <c r="N19" s="95">
        <v>2034</v>
      </c>
      <c r="O19" s="95">
        <v>2035</v>
      </c>
      <c r="P19" s="95">
        <v>2036</v>
      </c>
    </row>
    <row r="20" spans="2:18" x14ac:dyDescent="0.25">
      <c r="C20" s="28" t="s">
        <v>348</v>
      </c>
      <c r="D20" s="116">
        <f t="shared" ref="D20:P20" si="2">+D21</f>
        <v>170.35199999999998</v>
      </c>
      <c r="E20" s="116">
        <f t="shared" si="2"/>
        <v>170</v>
      </c>
      <c r="F20" s="116">
        <f t="shared" si="2"/>
        <v>170</v>
      </c>
      <c r="G20" s="132">
        <f t="shared" si="2"/>
        <v>171</v>
      </c>
      <c r="H20" s="132">
        <f t="shared" si="2"/>
        <v>171</v>
      </c>
      <c r="I20" s="132">
        <f t="shared" si="2"/>
        <v>171</v>
      </c>
      <c r="J20" s="132">
        <f t="shared" si="2"/>
        <v>171</v>
      </c>
      <c r="K20" s="132">
        <f t="shared" si="2"/>
        <v>171</v>
      </c>
      <c r="L20" s="132">
        <f t="shared" si="2"/>
        <v>171</v>
      </c>
      <c r="M20" s="132">
        <f t="shared" si="2"/>
        <v>171</v>
      </c>
      <c r="N20" s="132">
        <f t="shared" si="2"/>
        <v>171</v>
      </c>
      <c r="O20" s="132">
        <f t="shared" si="2"/>
        <v>171</v>
      </c>
      <c r="P20" s="132">
        <f t="shared" si="2"/>
        <v>171</v>
      </c>
    </row>
    <row r="21" spans="2:18" x14ac:dyDescent="0.25">
      <c r="C21" s="182" t="s">
        <v>432</v>
      </c>
      <c r="D21" s="183">
        <f>+'POBLACION DEMANDANTE EFECTIVA'!D15*E15</f>
        <v>170.35199999999998</v>
      </c>
      <c r="E21" s="183">
        <f t="shared" ref="E21:P21" si="3">ROUND(($D$21*(1+$A$9)^(E19-$D$19)),0)</f>
        <v>170</v>
      </c>
      <c r="F21" s="183">
        <f t="shared" si="3"/>
        <v>170</v>
      </c>
      <c r="G21" s="183">
        <f t="shared" si="3"/>
        <v>171</v>
      </c>
      <c r="H21" s="183">
        <f t="shared" si="3"/>
        <v>171</v>
      </c>
      <c r="I21" s="183">
        <f t="shared" si="3"/>
        <v>171</v>
      </c>
      <c r="J21" s="183">
        <f t="shared" si="3"/>
        <v>171</v>
      </c>
      <c r="K21" s="183">
        <f t="shared" si="3"/>
        <v>171</v>
      </c>
      <c r="L21" s="183">
        <f t="shared" si="3"/>
        <v>171</v>
      </c>
      <c r="M21" s="183">
        <f t="shared" si="3"/>
        <v>171</v>
      </c>
      <c r="N21" s="183">
        <f t="shared" si="3"/>
        <v>171</v>
      </c>
      <c r="O21" s="183">
        <f t="shared" si="3"/>
        <v>171</v>
      </c>
      <c r="P21" s="183">
        <f t="shared" si="3"/>
        <v>171</v>
      </c>
    </row>
    <row r="23" spans="2:18" ht="15" customHeight="1" x14ac:dyDescent="0.25">
      <c r="B23" s="125"/>
      <c r="C23" s="275" t="s">
        <v>433</v>
      </c>
      <c r="D23" s="276"/>
      <c r="E23" s="276"/>
      <c r="F23" s="277"/>
      <c r="G23" s="130"/>
      <c r="H23" s="130"/>
      <c r="I23" s="227"/>
      <c r="J23" s="227"/>
      <c r="K23" s="227"/>
      <c r="L23" s="227"/>
      <c r="M23" s="130"/>
      <c r="N23" s="130"/>
      <c r="O23" s="130"/>
      <c r="P23" s="130"/>
      <c r="Q23" s="130"/>
    </row>
    <row r="24" spans="2:18" ht="76.5" customHeight="1" x14ac:dyDescent="0.25">
      <c r="B24" s="130"/>
      <c r="C24" s="20" t="s">
        <v>30</v>
      </c>
      <c r="D24" s="20" t="s">
        <v>31</v>
      </c>
      <c r="E24" s="249" t="s">
        <v>445</v>
      </c>
      <c r="F24" s="251"/>
      <c r="G24" s="130"/>
      <c r="H24" s="130"/>
      <c r="I24" s="130"/>
      <c r="J24" s="13"/>
      <c r="K24" s="13"/>
      <c r="L24" s="130"/>
      <c r="M24" s="130"/>
      <c r="N24" s="130"/>
      <c r="O24" s="130"/>
      <c r="P24" s="130"/>
      <c r="Q24" s="130"/>
    </row>
    <row r="25" spans="2:18" x14ac:dyDescent="0.25">
      <c r="B25" s="130"/>
      <c r="C25" s="280" t="s">
        <v>32</v>
      </c>
      <c r="D25" s="133" t="s">
        <v>197</v>
      </c>
      <c r="E25" s="268">
        <v>2</v>
      </c>
      <c r="F25" s="269"/>
      <c r="G25" s="130"/>
      <c r="H25" s="130"/>
      <c r="I25" s="130"/>
      <c r="J25" s="13"/>
      <c r="K25" s="13"/>
      <c r="L25" s="130"/>
      <c r="M25" s="130"/>
      <c r="N25" s="130"/>
      <c r="O25" s="130"/>
      <c r="P25" s="130"/>
      <c r="Q25" s="130"/>
    </row>
    <row r="26" spans="2:18" x14ac:dyDescent="0.25">
      <c r="B26" s="130"/>
      <c r="C26" s="281"/>
      <c r="D26" s="134" t="s">
        <v>36</v>
      </c>
      <c r="E26" s="270">
        <v>6</v>
      </c>
      <c r="F26" s="271"/>
      <c r="G26" s="130"/>
      <c r="H26" s="130"/>
      <c r="I26" s="130"/>
      <c r="J26" s="29"/>
      <c r="K26" s="29"/>
      <c r="L26" s="130"/>
      <c r="M26" s="130"/>
      <c r="N26" s="130"/>
      <c r="O26" s="130"/>
      <c r="P26" s="130"/>
      <c r="Q26" s="130"/>
    </row>
    <row r="27" spans="2:18" x14ac:dyDescent="0.25">
      <c r="B27" s="130"/>
      <c r="C27" s="281"/>
      <c r="D27" s="134" t="s">
        <v>34</v>
      </c>
      <c r="E27" s="270">
        <v>4</v>
      </c>
      <c r="F27" s="271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</row>
    <row r="28" spans="2:18" x14ac:dyDescent="0.25">
      <c r="B28" s="130"/>
      <c r="C28" s="281"/>
      <c r="D28" s="134" t="s">
        <v>29</v>
      </c>
      <c r="E28" s="270">
        <v>2</v>
      </c>
      <c r="F28" s="271"/>
      <c r="G28" s="130"/>
      <c r="H28" s="130"/>
      <c r="I28" s="130"/>
      <c r="J28" s="227"/>
      <c r="K28" s="227"/>
      <c r="L28" s="130"/>
      <c r="M28" s="130"/>
      <c r="N28" s="130"/>
      <c r="O28" s="130"/>
      <c r="P28" s="130"/>
      <c r="Q28" s="130"/>
    </row>
    <row r="29" spans="2:18" x14ac:dyDescent="0.25">
      <c r="B29" s="130"/>
      <c r="C29" s="281"/>
      <c r="D29" s="134" t="s">
        <v>25</v>
      </c>
      <c r="E29" s="270">
        <v>2</v>
      </c>
      <c r="F29" s="271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</row>
    <row r="30" spans="2:18" x14ac:dyDescent="0.25">
      <c r="B30" s="130"/>
      <c r="C30" s="281"/>
      <c r="D30" s="134" t="s">
        <v>26</v>
      </c>
      <c r="E30" s="270">
        <v>2</v>
      </c>
      <c r="F30" s="271"/>
      <c r="G30" s="130"/>
      <c r="H30" s="130"/>
      <c r="I30" s="130"/>
      <c r="J30" s="13"/>
      <c r="K30" s="13"/>
      <c r="L30" s="130"/>
      <c r="M30" s="130"/>
      <c r="N30" s="130"/>
      <c r="O30" s="130"/>
      <c r="P30" s="130"/>
      <c r="Q30" s="130"/>
    </row>
    <row r="31" spans="2:18" x14ac:dyDescent="0.25">
      <c r="B31" s="130"/>
      <c r="C31" s="282"/>
      <c r="D31" s="135" t="s">
        <v>196</v>
      </c>
      <c r="E31" s="272">
        <v>1</v>
      </c>
      <c r="F31" s="273"/>
      <c r="G31" s="130"/>
      <c r="H31" s="130"/>
      <c r="I31" s="130"/>
      <c r="J31" s="13"/>
      <c r="K31" s="13"/>
      <c r="L31" s="130"/>
      <c r="M31" s="130"/>
      <c r="N31" s="130"/>
      <c r="O31" s="130"/>
      <c r="P31" s="130"/>
      <c r="Q31" s="130"/>
    </row>
    <row r="33" spans="2:17" x14ac:dyDescent="0.25">
      <c r="C33" s="239" t="s">
        <v>24</v>
      </c>
      <c r="D33" s="249" t="s">
        <v>143</v>
      </c>
      <c r="E33" s="250"/>
      <c r="F33" s="251"/>
      <c r="G33" s="255" t="s">
        <v>39</v>
      </c>
      <c r="H33" s="255"/>
      <c r="I33" s="255"/>
      <c r="J33" s="255"/>
      <c r="K33" s="255"/>
      <c r="L33" s="255"/>
      <c r="M33" s="255"/>
      <c r="N33" s="255"/>
      <c r="O33" s="255"/>
      <c r="P33" s="255"/>
    </row>
    <row r="34" spans="2:17" x14ac:dyDescent="0.25">
      <c r="C34" s="239"/>
      <c r="D34" s="259">
        <v>0</v>
      </c>
      <c r="E34" s="260"/>
      <c r="F34" s="261"/>
      <c r="G34" s="24">
        <v>1</v>
      </c>
      <c r="H34" s="24">
        <v>2</v>
      </c>
      <c r="I34" s="24">
        <v>3</v>
      </c>
      <c r="J34" s="24">
        <v>4</v>
      </c>
      <c r="K34" s="24">
        <v>5</v>
      </c>
      <c r="L34" s="24">
        <v>6</v>
      </c>
      <c r="M34" s="24">
        <v>7</v>
      </c>
      <c r="N34" s="24">
        <v>8</v>
      </c>
      <c r="O34" s="24">
        <v>9</v>
      </c>
      <c r="P34" s="24">
        <v>10</v>
      </c>
    </row>
    <row r="35" spans="2:17" x14ac:dyDescent="0.25">
      <c r="C35" s="239"/>
      <c r="D35" s="127">
        <f t="shared" ref="D35:P35" si="4">+D19</f>
        <v>2024</v>
      </c>
      <c r="E35" s="127">
        <f t="shared" si="4"/>
        <v>2025</v>
      </c>
      <c r="F35" s="127">
        <f t="shared" si="4"/>
        <v>2026</v>
      </c>
      <c r="G35" s="127">
        <f t="shared" si="4"/>
        <v>2027</v>
      </c>
      <c r="H35" s="127">
        <f t="shared" si="4"/>
        <v>2028</v>
      </c>
      <c r="I35" s="127">
        <f t="shared" si="4"/>
        <v>2029</v>
      </c>
      <c r="J35" s="127">
        <f t="shared" si="4"/>
        <v>2030</v>
      </c>
      <c r="K35" s="127">
        <f t="shared" si="4"/>
        <v>2031</v>
      </c>
      <c r="L35" s="127">
        <f t="shared" si="4"/>
        <v>2032</v>
      </c>
      <c r="M35" s="127">
        <f t="shared" si="4"/>
        <v>2033</v>
      </c>
      <c r="N35" s="127">
        <f t="shared" si="4"/>
        <v>2034</v>
      </c>
      <c r="O35" s="127">
        <f t="shared" si="4"/>
        <v>2035</v>
      </c>
      <c r="P35" s="127">
        <f t="shared" si="4"/>
        <v>2036</v>
      </c>
    </row>
    <row r="36" spans="2:17" x14ac:dyDescent="0.25">
      <c r="C36" s="160" t="s">
        <v>241</v>
      </c>
      <c r="D36" s="98">
        <f>+SUM(D37:D43)</f>
        <v>160.80000000000001</v>
      </c>
      <c r="E36" s="98">
        <f t="shared" ref="E36:P36" si="5">+SUM(E37:E43)</f>
        <v>162</v>
      </c>
      <c r="F36" s="98">
        <f t="shared" si="5"/>
        <v>162</v>
      </c>
      <c r="G36" s="110">
        <f t="shared" si="5"/>
        <v>162</v>
      </c>
      <c r="H36" s="106">
        <f t="shared" si="5"/>
        <v>162</v>
      </c>
      <c r="I36" s="106">
        <f t="shared" si="5"/>
        <v>162</v>
      </c>
      <c r="J36" s="106">
        <f t="shared" si="5"/>
        <v>162</v>
      </c>
      <c r="K36" s="106">
        <f t="shared" si="5"/>
        <v>162</v>
      </c>
      <c r="L36" s="106">
        <f t="shared" si="5"/>
        <v>162</v>
      </c>
      <c r="M36" s="106">
        <f t="shared" si="5"/>
        <v>162</v>
      </c>
      <c r="N36" s="106">
        <f t="shared" si="5"/>
        <v>162</v>
      </c>
      <c r="O36" s="106">
        <f t="shared" si="5"/>
        <v>162</v>
      </c>
      <c r="P36" s="106">
        <f t="shared" si="5"/>
        <v>162</v>
      </c>
    </row>
    <row r="37" spans="2:17" x14ac:dyDescent="0.25">
      <c r="C37" s="105" t="s">
        <v>199</v>
      </c>
      <c r="D37" s="96">
        <f>+'POBLACION DEMANDANTE EFECTIVA'!D21*E25</f>
        <v>4.8000000000000007</v>
      </c>
      <c r="E37" s="96">
        <f>ROUND(($D$37*(1+$A$9)^(E35-$D$35)),0)</f>
        <v>5</v>
      </c>
      <c r="F37" s="96">
        <f>ROUND(($D$37*(1+$A$9)^(F35-$D$35)),0)</f>
        <v>5</v>
      </c>
      <c r="G37" s="96">
        <f>ROUND(($D$37*(1+$A$9)^(G35-$D$35)),0)</f>
        <v>5</v>
      </c>
      <c r="H37" s="96">
        <f t="shared" ref="H37:P37" si="6">ROUND(($D$37*(1+$A$9)^(H35-$D$35)),0)</f>
        <v>5</v>
      </c>
      <c r="I37" s="96">
        <f t="shared" si="6"/>
        <v>5</v>
      </c>
      <c r="J37" s="96">
        <f t="shared" si="6"/>
        <v>5</v>
      </c>
      <c r="K37" s="96">
        <f t="shared" si="6"/>
        <v>5</v>
      </c>
      <c r="L37" s="96">
        <f t="shared" si="6"/>
        <v>5</v>
      </c>
      <c r="M37" s="96">
        <f t="shared" si="6"/>
        <v>5</v>
      </c>
      <c r="N37" s="96">
        <f t="shared" si="6"/>
        <v>5</v>
      </c>
      <c r="O37" s="96">
        <f t="shared" si="6"/>
        <v>5</v>
      </c>
      <c r="P37" s="96">
        <f t="shared" si="6"/>
        <v>5</v>
      </c>
    </row>
    <row r="38" spans="2:17" x14ac:dyDescent="0.25">
      <c r="C38" s="105" t="s">
        <v>198</v>
      </c>
      <c r="D38" s="96">
        <f>+'POBLACION DEMANDANTE EFECTIVA'!D22*E26</f>
        <v>33.6</v>
      </c>
      <c r="E38" s="96">
        <f>ROUND(($D$38*(1+$A$9)^(E35-$D$35)),0)</f>
        <v>34</v>
      </c>
      <c r="F38" s="96">
        <f>ROUND(($D$38*(1+$A$9)^(F35-$D$35)),0)</f>
        <v>34</v>
      </c>
      <c r="G38" s="96">
        <f>ROUND(($D$38*(1+$A$9)^(G35-$D$35)),0)</f>
        <v>34</v>
      </c>
      <c r="H38" s="96">
        <f t="shared" ref="H38:P38" si="7">ROUND(($D$38*(1+$A$9)^(H35-$D$35)),0)</f>
        <v>34</v>
      </c>
      <c r="I38" s="96">
        <f t="shared" si="7"/>
        <v>34</v>
      </c>
      <c r="J38" s="96">
        <f t="shared" si="7"/>
        <v>34</v>
      </c>
      <c r="K38" s="96">
        <f t="shared" si="7"/>
        <v>34</v>
      </c>
      <c r="L38" s="96">
        <f t="shared" si="7"/>
        <v>34</v>
      </c>
      <c r="M38" s="96">
        <f t="shared" si="7"/>
        <v>34</v>
      </c>
      <c r="N38" s="96">
        <f t="shared" si="7"/>
        <v>34</v>
      </c>
      <c r="O38" s="96">
        <f t="shared" si="7"/>
        <v>34</v>
      </c>
      <c r="P38" s="96">
        <f t="shared" si="7"/>
        <v>34</v>
      </c>
    </row>
    <row r="39" spans="2:17" x14ac:dyDescent="0.25">
      <c r="C39" s="51" t="s">
        <v>34</v>
      </c>
      <c r="D39" s="96">
        <f>+'POBLACION DEMANDANTE EFECTIVA'!D23*E27</f>
        <v>16</v>
      </c>
      <c r="E39" s="96">
        <f>ROUND(($D$39*(1+$A$9)^(E35-$D$35)),0)</f>
        <v>16</v>
      </c>
      <c r="F39" s="96">
        <f t="shared" ref="F39:P39" si="8">ROUND(($D$39*(1+$A$9)^(F35-$D$35)),0)</f>
        <v>16</v>
      </c>
      <c r="G39" s="96">
        <f t="shared" si="8"/>
        <v>16</v>
      </c>
      <c r="H39" s="96">
        <f>ROUND(($D$39*(1+$A$9)^(H35-$D$35)),0)</f>
        <v>16</v>
      </c>
      <c r="I39" s="96">
        <f t="shared" si="8"/>
        <v>16</v>
      </c>
      <c r="J39" s="96">
        <f t="shared" si="8"/>
        <v>16</v>
      </c>
      <c r="K39" s="96">
        <f t="shared" si="8"/>
        <v>16</v>
      </c>
      <c r="L39" s="96">
        <f t="shared" si="8"/>
        <v>16</v>
      </c>
      <c r="M39" s="96">
        <f t="shared" si="8"/>
        <v>16</v>
      </c>
      <c r="N39" s="96">
        <f t="shared" si="8"/>
        <v>16</v>
      </c>
      <c r="O39" s="96">
        <f t="shared" si="8"/>
        <v>16</v>
      </c>
      <c r="P39" s="96">
        <f t="shared" si="8"/>
        <v>16</v>
      </c>
    </row>
    <row r="40" spans="2:17" x14ac:dyDescent="0.25">
      <c r="C40" s="51" t="s">
        <v>29</v>
      </c>
      <c r="D40" s="96">
        <f>+'POBLACION DEMANDANTE EFECTIVA'!D24*E28</f>
        <v>20.8</v>
      </c>
      <c r="E40" s="96">
        <f>ROUND(($D$40*(1+$A$9)^(E35-$D$35)),0)</f>
        <v>21</v>
      </c>
      <c r="F40" s="96">
        <f t="shared" ref="F40:P40" si="9">ROUND(($D$40*(1+$A$9)^(F35-$D$35)),0)</f>
        <v>21</v>
      </c>
      <c r="G40" s="96">
        <f t="shared" si="9"/>
        <v>21</v>
      </c>
      <c r="H40" s="96">
        <f>ROUND(($D$40*(1+$A$9)^(H35-$D$35)),0)</f>
        <v>21</v>
      </c>
      <c r="I40" s="96">
        <f t="shared" si="9"/>
        <v>21</v>
      </c>
      <c r="J40" s="96">
        <f t="shared" si="9"/>
        <v>21</v>
      </c>
      <c r="K40" s="96">
        <f t="shared" si="9"/>
        <v>21</v>
      </c>
      <c r="L40" s="96">
        <f t="shared" si="9"/>
        <v>21</v>
      </c>
      <c r="M40" s="96">
        <f t="shared" si="9"/>
        <v>21</v>
      </c>
      <c r="N40" s="96">
        <f t="shared" si="9"/>
        <v>21</v>
      </c>
      <c r="O40" s="96">
        <f t="shared" si="9"/>
        <v>21</v>
      </c>
      <c r="P40" s="96">
        <f t="shared" si="9"/>
        <v>21</v>
      </c>
    </row>
    <row r="41" spans="2:17" x14ac:dyDescent="0.25">
      <c r="C41" s="51" t="s">
        <v>25</v>
      </c>
      <c r="D41" s="96">
        <f>+'POBLACION DEMANDANTE EFECTIVA'!D25*E29</f>
        <v>24</v>
      </c>
      <c r="E41" s="96">
        <f>ROUND(($D$41*(1+$A$9)^(E35-$D$35)),0)</f>
        <v>24</v>
      </c>
      <c r="F41" s="96">
        <f t="shared" ref="F41:P41" si="10">ROUND(($D$41*(1+$A$9)^(F35-$D$35)),0)</f>
        <v>24</v>
      </c>
      <c r="G41" s="96">
        <f t="shared" si="10"/>
        <v>24</v>
      </c>
      <c r="H41" s="96">
        <f t="shared" si="10"/>
        <v>24</v>
      </c>
      <c r="I41" s="96">
        <f t="shared" si="10"/>
        <v>24</v>
      </c>
      <c r="J41" s="96">
        <f t="shared" si="10"/>
        <v>24</v>
      </c>
      <c r="K41" s="96">
        <f t="shared" si="10"/>
        <v>24</v>
      </c>
      <c r="L41" s="96">
        <f t="shared" si="10"/>
        <v>24</v>
      </c>
      <c r="M41" s="96">
        <f t="shared" si="10"/>
        <v>24</v>
      </c>
      <c r="N41" s="96">
        <f t="shared" si="10"/>
        <v>24</v>
      </c>
      <c r="O41" s="96">
        <f t="shared" si="10"/>
        <v>24</v>
      </c>
      <c r="P41" s="96">
        <f t="shared" si="10"/>
        <v>24</v>
      </c>
    </row>
    <row r="42" spans="2:17" x14ac:dyDescent="0.25">
      <c r="C42" s="51" t="s">
        <v>26</v>
      </c>
      <c r="D42" s="96">
        <f>+'POBLACION DEMANDANTE EFECTIVA'!D26*E30</f>
        <v>20.8</v>
      </c>
      <c r="E42" s="96">
        <f>ROUND(($D$42*(1+$A$9)^(E35-$D$35)),0)</f>
        <v>21</v>
      </c>
      <c r="F42" s="96">
        <f t="shared" ref="F42:P42" si="11">ROUND(($D$42*(1+$A$9)^(F35-$D$35)),0)</f>
        <v>21</v>
      </c>
      <c r="G42" s="96">
        <f t="shared" si="11"/>
        <v>21</v>
      </c>
      <c r="H42" s="96">
        <f t="shared" si="11"/>
        <v>21</v>
      </c>
      <c r="I42" s="96">
        <f t="shared" si="11"/>
        <v>21</v>
      </c>
      <c r="J42" s="96">
        <f t="shared" si="11"/>
        <v>21</v>
      </c>
      <c r="K42" s="96">
        <f t="shared" si="11"/>
        <v>21</v>
      </c>
      <c r="L42" s="96">
        <f t="shared" si="11"/>
        <v>21</v>
      </c>
      <c r="M42" s="96">
        <f t="shared" si="11"/>
        <v>21</v>
      </c>
      <c r="N42" s="96">
        <f t="shared" si="11"/>
        <v>21</v>
      </c>
      <c r="O42" s="96">
        <f t="shared" si="11"/>
        <v>21</v>
      </c>
      <c r="P42" s="96">
        <f t="shared" si="11"/>
        <v>21</v>
      </c>
    </row>
    <row r="43" spans="2:17" x14ac:dyDescent="0.25">
      <c r="C43" s="51" t="s">
        <v>196</v>
      </c>
      <c r="D43" s="96">
        <f>+'POBLACION DEMANDANTE EFECTIVA'!D27*E31</f>
        <v>40.800000000000004</v>
      </c>
      <c r="E43" s="96">
        <f>ROUND(($D$43*(1+$A$9)^(E35-$D$35)),0)</f>
        <v>41</v>
      </c>
      <c r="F43" s="96">
        <f t="shared" ref="F43:P43" si="12">ROUND(($D$43*(1+$A$9)^(F35-$D$35)),0)</f>
        <v>41</v>
      </c>
      <c r="G43" s="96">
        <f t="shared" si="12"/>
        <v>41</v>
      </c>
      <c r="H43" s="96">
        <f t="shared" si="12"/>
        <v>41</v>
      </c>
      <c r="I43" s="96">
        <f t="shared" si="12"/>
        <v>41</v>
      </c>
      <c r="J43" s="96">
        <f t="shared" si="12"/>
        <v>41</v>
      </c>
      <c r="K43" s="96">
        <f t="shared" si="12"/>
        <v>41</v>
      </c>
      <c r="L43" s="96">
        <f t="shared" si="12"/>
        <v>41</v>
      </c>
      <c r="M43" s="96">
        <f t="shared" si="12"/>
        <v>41</v>
      </c>
      <c r="N43" s="96">
        <f t="shared" si="12"/>
        <v>41</v>
      </c>
      <c r="O43" s="96">
        <f t="shared" si="12"/>
        <v>41</v>
      </c>
      <c r="P43" s="96">
        <f t="shared" si="12"/>
        <v>41</v>
      </c>
    </row>
    <row r="45" spans="2:17" ht="15" customHeight="1" x14ac:dyDescent="0.25">
      <c r="B45" s="130"/>
      <c r="C45" s="275" t="s">
        <v>433</v>
      </c>
      <c r="D45" s="276"/>
      <c r="E45" s="276"/>
      <c r="F45" s="27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30"/>
    </row>
    <row r="46" spans="2:17" ht="76.5" customHeight="1" x14ac:dyDescent="0.25">
      <c r="B46" s="130"/>
      <c r="C46" s="20" t="s">
        <v>30</v>
      </c>
      <c r="D46" s="20" t="s">
        <v>31</v>
      </c>
      <c r="E46" s="249" t="s">
        <v>445</v>
      </c>
      <c r="F46" s="251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30"/>
    </row>
    <row r="47" spans="2:17" x14ac:dyDescent="0.25">
      <c r="B47" s="130"/>
      <c r="C47" s="280" t="s">
        <v>193</v>
      </c>
      <c r="D47" s="136" t="str">
        <f>+C57</f>
        <v>&lt; 29 dias</v>
      </c>
      <c r="E47" s="268">
        <v>1</v>
      </c>
      <c r="F47" s="269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30"/>
    </row>
    <row r="48" spans="2:17" x14ac:dyDescent="0.25">
      <c r="B48" s="130"/>
      <c r="C48" s="281"/>
      <c r="D48" s="136" t="str">
        <f t="shared" ref="D48:D51" si="13">+C58</f>
        <v>&lt; 1 año</v>
      </c>
      <c r="E48" s="270">
        <v>3</v>
      </c>
      <c r="F48" s="271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30"/>
    </row>
    <row r="49" spans="2:17" x14ac:dyDescent="0.25">
      <c r="B49" s="130"/>
      <c r="C49" s="281"/>
      <c r="D49" s="136" t="str">
        <f t="shared" si="13"/>
        <v>1 años</v>
      </c>
      <c r="E49" s="270">
        <v>2</v>
      </c>
      <c r="F49" s="271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30"/>
    </row>
    <row r="50" spans="2:17" x14ac:dyDescent="0.25">
      <c r="B50" s="130"/>
      <c r="C50" s="281"/>
      <c r="D50" s="136" t="str">
        <f t="shared" si="13"/>
        <v>2 años</v>
      </c>
      <c r="E50" s="270">
        <v>1</v>
      </c>
      <c r="F50" s="271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30"/>
    </row>
    <row r="51" spans="2:17" x14ac:dyDescent="0.25">
      <c r="B51" s="130"/>
      <c r="C51" s="282"/>
      <c r="D51" s="136" t="str">
        <f t="shared" si="13"/>
        <v>3 años</v>
      </c>
      <c r="E51" s="272">
        <v>1</v>
      </c>
      <c r="F51" s="273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30"/>
    </row>
    <row r="53" spans="2:17" x14ac:dyDescent="0.25">
      <c r="C53" s="239" t="s">
        <v>24</v>
      </c>
      <c r="D53" s="249" t="s">
        <v>143</v>
      </c>
      <c r="E53" s="250"/>
      <c r="F53" s="251"/>
      <c r="G53" s="255" t="s">
        <v>39</v>
      </c>
      <c r="H53" s="255"/>
      <c r="I53" s="255"/>
      <c r="J53" s="255"/>
      <c r="K53" s="255"/>
      <c r="L53" s="255"/>
      <c r="M53" s="255"/>
      <c r="N53" s="255"/>
      <c r="O53" s="255"/>
      <c r="P53" s="255"/>
    </row>
    <row r="54" spans="2:17" x14ac:dyDescent="0.25">
      <c r="C54" s="239"/>
      <c r="D54" s="259">
        <v>0</v>
      </c>
      <c r="E54" s="260"/>
      <c r="F54" s="261"/>
      <c r="G54" s="24">
        <v>1</v>
      </c>
      <c r="H54" s="24">
        <v>2</v>
      </c>
      <c r="I54" s="24">
        <v>3</v>
      </c>
      <c r="J54" s="24">
        <v>4</v>
      </c>
      <c r="K54" s="24">
        <v>5</v>
      </c>
      <c r="L54" s="24">
        <v>6</v>
      </c>
      <c r="M54" s="24">
        <v>7</v>
      </c>
      <c r="N54" s="24">
        <v>8</v>
      </c>
      <c r="O54" s="24">
        <v>9</v>
      </c>
      <c r="P54" s="24">
        <v>10</v>
      </c>
    </row>
    <row r="55" spans="2:17" x14ac:dyDescent="0.25">
      <c r="C55" s="239"/>
      <c r="D55" s="95">
        <f t="shared" ref="D55:P55" si="14">+D35</f>
        <v>2024</v>
      </c>
      <c r="E55" s="95">
        <f t="shared" si="14"/>
        <v>2025</v>
      </c>
      <c r="F55" s="95">
        <f t="shared" si="14"/>
        <v>2026</v>
      </c>
      <c r="G55" s="95">
        <f t="shared" si="14"/>
        <v>2027</v>
      </c>
      <c r="H55" s="95">
        <f t="shared" si="14"/>
        <v>2028</v>
      </c>
      <c r="I55" s="95">
        <f t="shared" si="14"/>
        <v>2029</v>
      </c>
      <c r="J55" s="95">
        <f t="shared" si="14"/>
        <v>2030</v>
      </c>
      <c r="K55" s="95">
        <f t="shared" si="14"/>
        <v>2031</v>
      </c>
      <c r="L55" s="95">
        <f t="shared" si="14"/>
        <v>2032</v>
      </c>
      <c r="M55" s="95">
        <f t="shared" si="14"/>
        <v>2033</v>
      </c>
      <c r="N55" s="95">
        <f t="shared" si="14"/>
        <v>2034</v>
      </c>
      <c r="O55" s="95">
        <f t="shared" si="14"/>
        <v>2035</v>
      </c>
      <c r="P55" s="95">
        <f t="shared" si="14"/>
        <v>2036</v>
      </c>
    </row>
    <row r="56" spans="2:17" ht="24.75" customHeight="1" x14ac:dyDescent="0.25">
      <c r="B56" s="93"/>
      <c r="C56" s="99" t="s">
        <v>192</v>
      </c>
      <c r="D56" s="106">
        <f>+SUM(D57:D61)</f>
        <v>49.6</v>
      </c>
      <c r="E56" s="106">
        <f>+SUM(E57:E61)</f>
        <v>49</v>
      </c>
      <c r="F56" s="143">
        <f>+SUM(F57:F61)</f>
        <v>49</v>
      </c>
      <c r="G56" s="106">
        <f>+SUM(G57:G61)</f>
        <v>49</v>
      </c>
      <c r="H56" s="106">
        <f>+SUM(H57:H61)</f>
        <v>49</v>
      </c>
      <c r="I56" s="106">
        <f t="shared" ref="I56:P56" si="15">+SUM(I57:I61)</f>
        <v>49</v>
      </c>
      <c r="J56" s="106">
        <f t="shared" si="15"/>
        <v>49</v>
      </c>
      <c r="K56" s="106">
        <f t="shared" si="15"/>
        <v>49</v>
      </c>
      <c r="L56" s="106">
        <f t="shared" si="15"/>
        <v>49</v>
      </c>
      <c r="M56" s="106">
        <f t="shared" si="15"/>
        <v>49</v>
      </c>
      <c r="N56" s="106">
        <f t="shared" si="15"/>
        <v>49</v>
      </c>
      <c r="O56" s="106">
        <f t="shared" si="15"/>
        <v>49</v>
      </c>
      <c r="P56" s="106">
        <f t="shared" si="15"/>
        <v>49</v>
      </c>
    </row>
    <row r="57" spans="2:17" x14ac:dyDescent="0.25">
      <c r="C57" s="105" t="s">
        <v>201</v>
      </c>
      <c r="D57" s="96">
        <f>+'POBLACION DEMANDANTE EFECTIVA'!D33*E47</f>
        <v>2.4000000000000004</v>
      </c>
      <c r="E57" s="96">
        <f>ROUND(($D$57*(1+$A$9)^(E55-$D$55)),0)</f>
        <v>2</v>
      </c>
      <c r="F57" s="96">
        <f>ROUND(($D$57*(1+$A$9)^(F55-$D$55)),0)</f>
        <v>2</v>
      </c>
      <c r="G57" s="96">
        <f>ROUND(($D$57*(1+$A$9)^(G55-$D$55)),0)</f>
        <v>2</v>
      </c>
      <c r="H57" s="96">
        <f>ROUND(($D$57*(1+$A$9)^(H55-$D$55)),0)</f>
        <v>2</v>
      </c>
      <c r="I57" s="96">
        <f t="shared" ref="I57:P57" si="16">ROUND(($D$57*(1+$A$9)^(I55-$D$55)),0)</f>
        <v>2</v>
      </c>
      <c r="J57" s="96">
        <f t="shared" si="16"/>
        <v>2</v>
      </c>
      <c r="K57" s="96">
        <f t="shared" si="16"/>
        <v>2</v>
      </c>
      <c r="L57" s="96">
        <f t="shared" si="16"/>
        <v>2</v>
      </c>
      <c r="M57" s="96">
        <f t="shared" si="16"/>
        <v>2</v>
      </c>
      <c r="N57" s="96">
        <f t="shared" si="16"/>
        <v>2</v>
      </c>
      <c r="O57" s="96">
        <f t="shared" si="16"/>
        <v>2</v>
      </c>
      <c r="P57" s="96">
        <f t="shared" si="16"/>
        <v>2</v>
      </c>
    </row>
    <row r="58" spans="2:17" x14ac:dyDescent="0.25">
      <c r="C58" s="105" t="s">
        <v>373</v>
      </c>
      <c r="D58" s="96">
        <f>+'POBLACION DEMANDANTE EFECTIVA'!D34*E48</f>
        <v>16.8</v>
      </c>
      <c r="E58" s="96">
        <f>ROUND(($D$58*(1+$A$9)^(E55-$D$55)),0)</f>
        <v>17</v>
      </c>
      <c r="F58" s="96">
        <f>ROUND(($D$58*(1+$A$9)^(F55-$D$55)),0)</f>
        <v>17</v>
      </c>
      <c r="G58" s="96">
        <f>ROUND(($D$58*(1+$A$9)^(G55-$D$55)),0)</f>
        <v>17</v>
      </c>
      <c r="H58" s="96">
        <f>ROUND(($D$58*(1+$A$9)^(H55-$D$55)),0)</f>
        <v>17</v>
      </c>
      <c r="I58" s="96">
        <f t="shared" ref="I58:P58" si="17">ROUND(($D$58*(1+$A$9)^(I55-$D$55)),0)</f>
        <v>17</v>
      </c>
      <c r="J58" s="96">
        <f t="shared" si="17"/>
        <v>17</v>
      </c>
      <c r="K58" s="96">
        <f t="shared" si="17"/>
        <v>17</v>
      </c>
      <c r="L58" s="96">
        <f t="shared" si="17"/>
        <v>17</v>
      </c>
      <c r="M58" s="96">
        <f t="shared" si="17"/>
        <v>17</v>
      </c>
      <c r="N58" s="96">
        <f t="shared" si="17"/>
        <v>17</v>
      </c>
      <c r="O58" s="96">
        <f t="shared" si="17"/>
        <v>17</v>
      </c>
      <c r="P58" s="96">
        <f t="shared" si="17"/>
        <v>17</v>
      </c>
    </row>
    <row r="59" spans="2:17" x14ac:dyDescent="0.25">
      <c r="C59" s="51" t="s">
        <v>200</v>
      </c>
      <c r="D59" s="96">
        <f>+'POBLACION DEMANDANTE EFECTIVA'!D35*E49</f>
        <v>8</v>
      </c>
      <c r="E59" s="96">
        <f>ROUND(($D$59*(1+$A$9)^(E55-$D$55)),0)</f>
        <v>8</v>
      </c>
      <c r="F59" s="96">
        <f>ROUND(($D$59*(1+$A$9)^(F55-$D$55)),0)</f>
        <v>8</v>
      </c>
      <c r="G59" s="96">
        <f>ROUND(($D$59*(1+$A$9)^(G55-$D$55)),0)</f>
        <v>8</v>
      </c>
      <c r="H59" s="96">
        <f>ROUND(($D$59*(1+$A$9)^(H55-$D$55)),0)</f>
        <v>8</v>
      </c>
      <c r="I59" s="96">
        <f t="shared" ref="I59:P59" si="18">ROUND(($D$59*(1+$A$9)^(I55-$D$55)),0)</f>
        <v>8</v>
      </c>
      <c r="J59" s="96">
        <f t="shared" si="18"/>
        <v>8</v>
      </c>
      <c r="K59" s="96">
        <f t="shared" si="18"/>
        <v>8</v>
      </c>
      <c r="L59" s="96">
        <f t="shared" si="18"/>
        <v>8</v>
      </c>
      <c r="M59" s="96">
        <f t="shared" si="18"/>
        <v>8</v>
      </c>
      <c r="N59" s="96">
        <f t="shared" si="18"/>
        <v>8</v>
      </c>
      <c r="O59" s="96">
        <f t="shared" si="18"/>
        <v>8</v>
      </c>
      <c r="P59" s="96">
        <f t="shared" si="18"/>
        <v>8</v>
      </c>
    </row>
    <row r="60" spans="2:17" x14ac:dyDescent="0.25">
      <c r="C60" s="51" t="s">
        <v>29</v>
      </c>
      <c r="D60" s="96">
        <f>+'POBLACION DEMANDANTE EFECTIVA'!D36*E50</f>
        <v>10.4</v>
      </c>
      <c r="E60" s="96">
        <f>ROUND(($D$60*(1+$A$9)^(E55-$D$55)),0)</f>
        <v>10</v>
      </c>
      <c r="F60" s="96">
        <f>ROUND(($D$60*(1+$A$9)^(F55-$D$55)),0)</f>
        <v>10</v>
      </c>
      <c r="G60" s="96">
        <f>ROUND(($D$60*(1+$A$9)^(G55-$D$55)),0)</f>
        <v>10</v>
      </c>
      <c r="H60" s="96">
        <f>ROUND(($D$60*(1+$A$9)^(H55-$D$55)),0)</f>
        <v>10</v>
      </c>
      <c r="I60" s="96">
        <f t="shared" ref="I60:P60" si="19">ROUND(($D$60*(1+$A$9)^(I55-$D$55)),0)</f>
        <v>10</v>
      </c>
      <c r="J60" s="96">
        <f t="shared" si="19"/>
        <v>10</v>
      </c>
      <c r="K60" s="96">
        <f t="shared" si="19"/>
        <v>10</v>
      </c>
      <c r="L60" s="96">
        <f t="shared" si="19"/>
        <v>10</v>
      </c>
      <c r="M60" s="96">
        <f t="shared" si="19"/>
        <v>10</v>
      </c>
      <c r="N60" s="96">
        <f t="shared" si="19"/>
        <v>10</v>
      </c>
      <c r="O60" s="96">
        <f t="shared" si="19"/>
        <v>10</v>
      </c>
      <c r="P60" s="96">
        <f t="shared" si="19"/>
        <v>10</v>
      </c>
    </row>
    <row r="61" spans="2:17" x14ac:dyDescent="0.25">
      <c r="C61" s="51" t="s">
        <v>25</v>
      </c>
      <c r="D61" s="96">
        <f>+'POBLACION DEMANDANTE EFECTIVA'!D37*E51</f>
        <v>12</v>
      </c>
      <c r="E61" s="96">
        <f>ROUND(($D$61*(1+$A$9)^(E55-$D$55)),0)</f>
        <v>12</v>
      </c>
      <c r="F61" s="96">
        <f>ROUND(($D$61*(1+$A$9)^(F55-$D$55)),0)</f>
        <v>12</v>
      </c>
      <c r="G61" s="96">
        <f>ROUND(($D$61*(1+$A$9)^(G55-$D$55)),0)</f>
        <v>12</v>
      </c>
      <c r="H61" s="96">
        <f>ROUND(($D$61*(1+$A$9)^(H55-$D$55)),0)</f>
        <v>12</v>
      </c>
      <c r="I61" s="96">
        <f t="shared" ref="I61:P61" si="20">ROUND(($D$61*(1+$A$9)^(I55-$D$55)),0)</f>
        <v>12</v>
      </c>
      <c r="J61" s="96">
        <f t="shared" si="20"/>
        <v>12</v>
      </c>
      <c r="K61" s="96">
        <f t="shared" si="20"/>
        <v>12</v>
      </c>
      <c r="L61" s="96">
        <f t="shared" si="20"/>
        <v>12</v>
      </c>
      <c r="M61" s="96">
        <f t="shared" si="20"/>
        <v>12</v>
      </c>
      <c r="N61" s="96">
        <f t="shared" si="20"/>
        <v>12</v>
      </c>
      <c r="O61" s="96">
        <f t="shared" si="20"/>
        <v>12</v>
      </c>
      <c r="P61" s="96">
        <f t="shared" si="20"/>
        <v>12</v>
      </c>
    </row>
    <row r="63" spans="2:17" ht="15" customHeight="1" x14ac:dyDescent="0.25">
      <c r="B63" s="131"/>
      <c r="C63" s="267" t="s">
        <v>433</v>
      </c>
      <c r="D63" s="267"/>
      <c r="E63" s="267"/>
      <c r="F63" s="26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31"/>
    </row>
    <row r="64" spans="2:17" ht="76.5" customHeight="1" x14ac:dyDescent="0.25">
      <c r="B64" s="130"/>
      <c r="C64" s="26" t="s">
        <v>30</v>
      </c>
      <c r="D64" s="26" t="s">
        <v>31</v>
      </c>
      <c r="E64" s="239" t="s">
        <v>446</v>
      </c>
      <c r="F64" s="239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30"/>
    </row>
    <row r="65" spans="2:18" x14ac:dyDescent="0.25">
      <c r="B65" s="130"/>
      <c r="C65" s="283" t="s">
        <v>194</v>
      </c>
      <c r="D65" s="21" t="s">
        <v>36</v>
      </c>
      <c r="E65" s="287">
        <v>3</v>
      </c>
      <c r="F65" s="288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30"/>
    </row>
    <row r="66" spans="2:18" x14ac:dyDescent="0.25">
      <c r="B66" s="130"/>
      <c r="C66" s="284"/>
      <c r="D66" s="21" t="s">
        <v>34</v>
      </c>
      <c r="E66" s="289">
        <v>3</v>
      </c>
      <c r="F66" s="290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30"/>
    </row>
    <row r="67" spans="2:18" x14ac:dyDescent="0.25">
      <c r="B67" s="130"/>
      <c r="C67" s="284"/>
      <c r="D67" s="21" t="s">
        <v>29</v>
      </c>
      <c r="E67" s="289">
        <v>1</v>
      </c>
      <c r="F67" s="290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30"/>
    </row>
    <row r="68" spans="2:18" x14ac:dyDescent="0.25">
      <c r="B68" s="130"/>
      <c r="C68" s="284"/>
      <c r="D68" s="21" t="s">
        <v>25</v>
      </c>
      <c r="E68" s="289">
        <v>1</v>
      </c>
      <c r="F68" s="290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30"/>
    </row>
    <row r="69" spans="2:18" x14ac:dyDescent="0.25">
      <c r="B69" s="130"/>
      <c r="C69" s="284"/>
      <c r="D69" s="21" t="s">
        <v>202</v>
      </c>
      <c r="E69" s="289">
        <v>1</v>
      </c>
      <c r="F69" s="290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30"/>
    </row>
    <row r="70" spans="2:18" x14ac:dyDescent="0.25">
      <c r="B70" s="130"/>
      <c r="C70" s="285"/>
      <c r="D70" s="21" t="s">
        <v>33</v>
      </c>
      <c r="E70" s="291">
        <v>2</v>
      </c>
      <c r="F70" s="292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30"/>
    </row>
    <row r="72" spans="2:18" x14ac:dyDescent="0.25">
      <c r="C72" s="239" t="s">
        <v>24</v>
      </c>
      <c r="D72" s="249" t="s">
        <v>143</v>
      </c>
      <c r="E72" s="250"/>
      <c r="F72" s="251"/>
      <c r="G72" s="255" t="s">
        <v>39</v>
      </c>
      <c r="H72" s="255"/>
      <c r="I72" s="255"/>
      <c r="J72" s="255"/>
      <c r="K72" s="255"/>
      <c r="L72" s="255"/>
      <c r="M72" s="255"/>
      <c r="N72" s="255"/>
      <c r="O72" s="255"/>
      <c r="P72" s="255"/>
    </row>
    <row r="73" spans="2:18" x14ac:dyDescent="0.25">
      <c r="C73" s="239"/>
      <c r="D73" s="259">
        <v>0</v>
      </c>
      <c r="E73" s="260"/>
      <c r="F73" s="261"/>
      <c r="G73" s="24">
        <v>1</v>
      </c>
      <c r="H73" s="24">
        <v>2</v>
      </c>
      <c r="I73" s="24">
        <v>3</v>
      </c>
      <c r="J73" s="24">
        <v>4</v>
      </c>
      <c r="K73" s="24">
        <v>5</v>
      </c>
      <c r="L73" s="24">
        <v>6</v>
      </c>
      <c r="M73" s="24">
        <v>7</v>
      </c>
      <c r="N73" s="24">
        <v>8</v>
      </c>
      <c r="O73" s="24">
        <v>9</v>
      </c>
      <c r="P73" s="24">
        <v>10</v>
      </c>
    </row>
    <row r="74" spans="2:18" x14ac:dyDescent="0.25">
      <c r="C74" s="239"/>
      <c r="D74" s="20">
        <v>2024</v>
      </c>
      <c r="E74" s="20">
        <v>2025</v>
      </c>
      <c r="F74" s="20">
        <v>2026</v>
      </c>
      <c r="G74" s="20">
        <v>2027</v>
      </c>
      <c r="H74" s="20">
        <v>2028</v>
      </c>
      <c r="I74" s="20">
        <v>2029</v>
      </c>
      <c r="J74" s="20">
        <v>2030</v>
      </c>
      <c r="K74" s="20">
        <v>2031</v>
      </c>
      <c r="L74" s="20">
        <v>2032</v>
      </c>
      <c r="M74" s="20">
        <v>2033</v>
      </c>
      <c r="N74" s="20">
        <v>2034</v>
      </c>
      <c r="O74" s="20">
        <v>2035</v>
      </c>
      <c r="P74" s="20">
        <v>2036</v>
      </c>
    </row>
    <row r="75" spans="2:18" ht="25.5" x14ac:dyDescent="0.25">
      <c r="C75" s="99" t="s">
        <v>242</v>
      </c>
      <c r="D75" s="97">
        <f t="shared" ref="D75:I75" si="21">+SUM(D76:D81)</f>
        <v>90.4</v>
      </c>
      <c r="E75" s="97">
        <f>+SUM(E76:E81)</f>
        <v>90</v>
      </c>
      <c r="F75" s="97">
        <f>+SUM(F76:F81)</f>
        <v>90</v>
      </c>
      <c r="G75" s="97">
        <f>+SUM(G76:G81)</f>
        <v>90</v>
      </c>
      <c r="H75" s="97">
        <f t="shared" si="21"/>
        <v>90</v>
      </c>
      <c r="I75" s="97">
        <f t="shared" si="21"/>
        <v>90</v>
      </c>
      <c r="J75" s="97">
        <f t="shared" ref="J75:P75" si="22">+SUM(J76:J81)</f>
        <v>90</v>
      </c>
      <c r="K75" s="97">
        <f t="shared" si="22"/>
        <v>90</v>
      </c>
      <c r="L75" s="97">
        <f t="shared" si="22"/>
        <v>90</v>
      </c>
      <c r="M75" s="97">
        <f t="shared" si="22"/>
        <v>90</v>
      </c>
      <c r="N75" s="97">
        <f t="shared" si="22"/>
        <v>90</v>
      </c>
      <c r="O75" s="97">
        <f t="shared" si="22"/>
        <v>90</v>
      </c>
      <c r="P75" s="97">
        <f t="shared" si="22"/>
        <v>90</v>
      </c>
    </row>
    <row r="76" spans="2:18" ht="16.5" customHeight="1" x14ac:dyDescent="0.25">
      <c r="C76" s="105" t="s">
        <v>373</v>
      </c>
      <c r="D76" s="96">
        <f>+'POBLACION DEMANDANTE EFECTIVA'!D43*E65</f>
        <v>16.8</v>
      </c>
      <c r="E76" s="96">
        <f>ROUND(($D$76*(1+$A$9)^(E74-$D$74)),0)</f>
        <v>17</v>
      </c>
      <c r="F76" s="96">
        <f>ROUND(($D$76*(1+$A$9)^(F74-$D$74)),0)</f>
        <v>17</v>
      </c>
      <c r="G76" s="96">
        <f t="shared" ref="G76:P76" si="23">ROUND(($D$76*(1+$A$9)^(G74-$D$74)),0)</f>
        <v>17</v>
      </c>
      <c r="H76" s="96">
        <f t="shared" si="23"/>
        <v>17</v>
      </c>
      <c r="I76" s="96">
        <f t="shared" si="23"/>
        <v>17</v>
      </c>
      <c r="J76" s="96">
        <f t="shared" si="23"/>
        <v>17</v>
      </c>
      <c r="K76" s="96">
        <f t="shared" si="23"/>
        <v>17</v>
      </c>
      <c r="L76" s="96">
        <f t="shared" si="23"/>
        <v>17</v>
      </c>
      <c r="M76" s="96">
        <f t="shared" si="23"/>
        <v>17</v>
      </c>
      <c r="N76" s="96">
        <f t="shared" si="23"/>
        <v>17</v>
      </c>
      <c r="O76" s="96">
        <f t="shared" si="23"/>
        <v>17</v>
      </c>
      <c r="P76" s="96">
        <f t="shared" si="23"/>
        <v>17</v>
      </c>
    </row>
    <row r="77" spans="2:18" ht="15" customHeight="1" x14ac:dyDescent="0.25">
      <c r="C77" s="51" t="s">
        <v>34</v>
      </c>
      <c r="D77" s="96">
        <f>+'POBLACION DEMANDANTE EFECTIVA'!D44*E66</f>
        <v>12</v>
      </c>
      <c r="E77" s="96">
        <f>ROUND(($D$77*(1+$A$9)^(E74-$D$74)),0)</f>
        <v>12</v>
      </c>
      <c r="F77" s="96">
        <f>ROUND(($D$77*(1+$A$9)^(F74-$D$74)),0)</f>
        <v>12</v>
      </c>
      <c r="G77" s="96">
        <f t="shared" ref="G77:P77" si="24">ROUND(($D$77*(1+$A$9)^(G74-$D$74)),0)</f>
        <v>12</v>
      </c>
      <c r="H77" s="96">
        <f t="shared" si="24"/>
        <v>12</v>
      </c>
      <c r="I77" s="96">
        <f t="shared" si="24"/>
        <v>12</v>
      </c>
      <c r="J77" s="96">
        <f t="shared" si="24"/>
        <v>12</v>
      </c>
      <c r="K77" s="96">
        <f t="shared" si="24"/>
        <v>12</v>
      </c>
      <c r="L77" s="96">
        <f t="shared" si="24"/>
        <v>12</v>
      </c>
      <c r="M77" s="96">
        <f t="shared" si="24"/>
        <v>12</v>
      </c>
      <c r="N77" s="96">
        <f t="shared" si="24"/>
        <v>12</v>
      </c>
      <c r="O77" s="96">
        <f t="shared" si="24"/>
        <v>12</v>
      </c>
      <c r="P77" s="96">
        <f t="shared" si="24"/>
        <v>12</v>
      </c>
    </row>
    <row r="78" spans="2:18" s="19" customFormat="1" x14ac:dyDescent="0.25">
      <c r="B78"/>
      <c r="C78" s="51" t="s">
        <v>29</v>
      </c>
      <c r="D78" s="96">
        <f>+'POBLACION DEMANDANTE EFECTIVA'!D45*E67</f>
        <v>10.4</v>
      </c>
      <c r="E78" s="96">
        <f>ROUND(($D$78*(1+$A$9)^(E74-$D$74)),0)</f>
        <v>10</v>
      </c>
      <c r="F78" s="96">
        <f t="shared" ref="F78:P78" si="25">ROUND(($D$78*(1+$A$9)^(F74-$D$74)),0)</f>
        <v>10</v>
      </c>
      <c r="G78" s="96">
        <f t="shared" si="25"/>
        <v>10</v>
      </c>
      <c r="H78" s="96">
        <f t="shared" si="25"/>
        <v>10</v>
      </c>
      <c r="I78" s="96">
        <f t="shared" si="25"/>
        <v>10</v>
      </c>
      <c r="J78" s="96">
        <f t="shared" si="25"/>
        <v>10</v>
      </c>
      <c r="K78" s="96">
        <f t="shared" si="25"/>
        <v>10</v>
      </c>
      <c r="L78" s="96">
        <f t="shared" si="25"/>
        <v>10</v>
      </c>
      <c r="M78" s="96">
        <f t="shared" si="25"/>
        <v>10</v>
      </c>
      <c r="N78" s="96">
        <f t="shared" si="25"/>
        <v>10</v>
      </c>
      <c r="O78" s="96">
        <f t="shared" si="25"/>
        <v>10</v>
      </c>
      <c r="P78" s="96">
        <f t="shared" si="25"/>
        <v>10</v>
      </c>
      <c r="Q78"/>
      <c r="R78"/>
    </row>
    <row r="79" spans="2:18" s="19" customFormat="1" x14ac:dyDescent="0.25">
      <c r="B79"/>
      <c r="C79" s="51" t="s">
        <v>25</v>
      </c>
      <c r="D79" s="96">
        <f>+'POBLACION DEMANDANTE EFECTIVA'!D46*E68</f>
        <v>12</v>
      </c>
      <c r="E79" s="96">
        <f>ROUND(($D$79*(1+$A$9)^(E74-$D$74)),0)</f>
        <v>12</v>
      </c>
      <c r="F79" s="96">
        <f t="shared" ref="F79:P79" si="26">ROUND(($D$79*(1+$A$9)^(F74-$D$74)),0)</f>
        <v>12</v>
      </c>
      <c r="G79" s="96">
        <f t="shared" si="26"/>
        <v>12</v>
      </c>
      <c r="H79" s="96">
        <f t="shared" si="26"/>
        <v>12</v>
      </c>
      <c r="I79" s="96">
        <f t="shared" si="26"/>
        <v>12</v>
      </c>
      <c r="J79" s="96">
        <f t="shared" si="26"/>
        <v>12</v>
      </c>
      <c r="K79" s="96">
        <f t="shared" si="26"/>
        <v>12</v>
      </c>
      <c r="L79" s="96">
        <f t="shared" si="26"/>
        <v>12</v>
      </c>
      <c r="M79" s="96">
        <f t="shared" si="26"/>
        <v>12</v>
      </c>
      <c r="N79" s="96">
        <f t="shared" si="26"/>
        <v>12</v>
      </c>
      <c r="O79" s="96">
        <f t="shared" si="26"/>
        <v>12</v>
      </c>
      <c r="P79" s="96">
        <f t="shared" si="26"/>
        <v>12</v>
      </c>
      <c r="Q79"/>
      <c r="R79"/>
    </row>
    <row r="80" spans="2:18" x14ac:dyDescent="0.25">
      <c r="C80" s="51" t="s">
        <v>202</v>
      </c>
      <c r="D80" s="96">
        <f>+'POBLACION DEMANDANTE EFECTIVA'!D47*E69</f>
        <v>10.4</v>
      </c>
      <c r="E80" s="96">
        <f>ROUND(($D$80*(1+$A$9)^(E74-$D$74)),0)</f>
        <v>10</v>
      </c>
      <c r="F80" s="96">
        <f t="shared" ref="F80:P80" si="27">ROUND(($D$80*(1+$A$9)^(F74-$D$74)),0)</f>
        <v>10</v>
      </c>
      <c r="G80" s="96">
        <f t="shared" si="27"/>
        <v>10</v>
      </c>
      <c r="H80" s="96">
        <f t="shared" si="27"/>
        <v>10</v>
      </c>
      <c r="I80" s="96">
        <f t="shared" si="27"/>
        <v>10</v>
      </c>
      <c r="J80" s="96">
        <f t="shared" si="27"/>
        <v>10</v>
      </c>
      <c r="K80" s="96">
        <f t="shared" si="27"/>
        <v>10</v>
      </c>
      <c r="L80" s="96">
        <f t="shared" si="27"/>
        <v>10</v>
      </c>
      <c r="M80" s="96">
        <f t="shared" si="27"/>
        <v>10</v>
      </c>
      <c r="N80" s="96">
        <f t="shared" si="27"/>
        <v>10</v>
      </c>
      <c r="O80" s="96">
        <f t="shared" si="27"/>
        <v>10</v>
      </c>
      <c r="P80" s="96">
        <f t="shared" si="27"/>
        <v>10</v>
      </c>
    </row>
    <row r="81" spans="2:18" x14ac:dyDescent="0.25">
      <c r="C81" s="51" t="s">
        <v>195</v>
      </c>
      <c r="D81" s="96">
        <f>+'POBLACION DEMANDANTE EFECTIVA'!D48*E70</f>
        <v>28.8</v>
      </c>
      <c r="E81" s="96">
        <f>ROUND(($D$81*(1+$A$9)^(E74-$D$74)),0)</f>
        <v>29</v>
      </c>
      <c r="F81" s="96">
        <f t="shared" ref="F81:P81" si="28">ROUND(($D$81*(1+$A$9)^(F74-$D$74)),0)</f>
        <v>29</v>
      </c>
      <c r="G81" s="96">
        <f t="shared" si="28"/>
        <v>29</v>
      </c>
      <c r="H81" s="96">
        <f t="shared" si="28"/>
        <v>29</v>
      </c>
      <c r="I81" s="96">
        <f t="shared" si="28"/>
        <v>29</v>
      </c>
      <c r="J81" s="96">
        <f t="shared" si="28"/>
        <v>29</v>
      </c>
      <c r="K81" s="96">
        <f t="shared" si="28"/>
        <v>29</v>
      </c>
      <c r="L81" s="96">
        <f t="shared" si="28"/>
        <v>29</v>
      </c>
      <c r="M81" s="96">
        <f t="shared" si="28"/>
        <v>29</v>
      </c>
      <c r="N81" s="96">
        <f t="shared" si="28"/>
        <v>29</v>
      </c>
      <c r="O81" s="96">
        <f t="shared" si="28"/>
        <v>29</v>
      </c>
      <c r="P81" s="96">
        <f t="shared" si="28"/>
        <v>29</v>
      </c>
    </row>
    <row r="83" spans="2:18" ht="25.5" customHeight="1" x14ac:dyDescent="0.25">
      <c r="B83" s="129"/>
      <c r="C83" s="275" t="s">
        <v>433</v>
      </c>
      <c r="D83" s="276"/>
      <c r="E83" s="276"/>
      <c r="F83" s="277"/>
      <c r="G83" s="125"/>
      <c r="H83" s="125"/>
      <c r="I83" s="125"/>
      <c r="J83" s="125"/>
      <c r="K83" s="125"/>
      <c r="L83" s="125"/>
      <c r="M83" s="125"/>
      <c r="N83" s="125"/>
      <c r="O83" s="130"/>
      <c r="P83" s="130"/>
      <c r="Q83" s="130"/>
    </row>
    <row r="84" spans="2:18" ht="76.5" customHeight="1" x14ac:dyDescent="0.25">
      <c r="B84" s="129"/>
      <c r="C84" s="20" t="s">
        <v>212</v>
      </c>
      <c r="D84" s="20" t="s">
        <v>31</v>
      </c>
      <c r="E84" s="249" t="s">
        <v>445</v>
      </c>
      <c r="F84" s="251"/>
      <c r="G84" s="125"/>
      <c r="H84" s="125"/>
      <c r="I84" s="125"/>
      <c r="J84" s="125"/>
      <c r="K84" s="125"/>
      <c r="L84" s="125"/>
      <c r="M84" s="125"/>
      <c r="N84" s="125"/>
      <c r="O84" s="130"/>
      <c r="P84" s="130"/>
      <c r="Q84" s="130"/>
    </row>
    <row r="85" spans="2:18" x14ac:dyDescent="0.25">
      <c r="B85" s="129"/>
      <c r="C85" s="267" t="s">
        <v>219</v>
      </c>
      <c r="D85" s="21" t="s">
        <v>181</v>
      </c>
      <c r="E85" s="268">
        <v>1</v>
      </c>
      <c r="F85" s="269"/>
      <c r="G85" s="125"/>
      <c r="H85" s="125"/>
      <c r="I85" s="125"/>
      <c r="J85" s="125"/>
      <c r="K85" s="125"/>
      <c r="L85" s="125"/>
      <c r="M85" s="125"/>
      <c r="N85" s="125"/>
      <c r="O85" s="130"/>
      <c r="P85" s="130"/>
      <c r="Q85" s="130"/>
    </row>
    <row r="86" spans="2:18" x14ac:dyDescent="0.25">
      <c r="B86" s="129"/>
      <c r="C86" s="267"/>
      <c r="D86" s="21" t="s">
        <v>182</v>
      </c>
      <c r="E86" s="270">
        <v>1</v>
      </c>
      <c r="F86" s="271"/>
      <c r="G86" s="125"/>
      <c r="H86" s="125"/>
      <c r="I86" s="125"/>
      <c r="J86" s="125"/>
      <c r="K86" s="125"/>
      <c r="L86" s="125"/>
      <c r="M86" s="125"/>
      <c r="N86" s="125"/>
      <c r="O86" s="130"/>
      <c r="P86" s="130"/>
      <c r="Q86" s="130"/>
    </row>
    <row r="87" spans="2:18" x14ac:dyDescent="0.25">
      <c r="B87" s="129"/>
      <c r="C87" s="267"/>
      <c r="D87" s="21" t="s">
        <v>183</v>
      </c>
      <c r="E87" s="270">
        <v>1</v>
      </c>
      <c r="F87" s="271"/>
      <c r="G87" s="125"/>
      <c r="H87" s="125"/>
      <c r="I87" s="125"/>
      <c r="J87" s="125"/>
      <c r="K87" s="125"/>
      <c r="L87" s="125"/>
      <c r="M87" s="125"/>
      <c r="N87" s="125"/>
      <c r="O87" s="130"/>
      <c r="P87" s="130"/>
      <c r="Q87" s="130"/>
    </row>
    <row r="88" spans="2:18" x14ac:dyDescent="0.25">
      <c r="B88" s="129"/>
      <c r="C88" s="267"/>
      <c r="D88" s="21" t="s">
        <v>184</v>
      </c>
      <c r="E88" s="270">
        <v>1</v>
      </c>
      <c r="F88" s="271"/>
      <c r="G88" s="125"/>
      <c r="H88" s="125"/>
      <c r="I88" s="125"/>
      <c r="J88" s="125"/>
      <c r="K88" s="125"/>
      <c r="L88" s="125"/>
      <c r="M88" s="125"/>
      <c r="N88" s="125"/>
      <c r="O88" s="130"/>
      <c r="P88" s="130"/>
      <c r="Q88" s="130"/>
    </row>
    <row r="89" spans="2:18" x14ac:dyDescent="0.25">
      <c r="B89" s="129"/>
      <c r="C89" s="267"/>
      <c r="D89" s="21" t="s">
        <v>185</v>
      </c>
      <c r="E89" s="270">
        <v>1</v>
      </c>
      <c r="F89" s="271"/>
      <c r="G89" s="125"/>
      <c r="H89" s="125"/>
      <c r="I89" s="125"/>
      <c r="J89" s="125"/>
      <c r="K89" s="125"/>
      <c r="L89" s="125"/>
      <c r="M89" s="125"/>
      <c r="N89" s="125"/>
      <c r="O89" s="130"/>
      <c r="P89" s="130"/>
      <c r="Q89" s="130"/>
    </row>
    <row r="90" spans="2:18" x14ac:dyDescent="0.25">
      <c r="B90" s="129"/>
      <c r="C90" s="267"/>
      <c r="D90" s="21" t="s">
        <v>186</v>
      </c>
      <c r="E90" s="272">
        <v>1</v>
      </c>
      <c r="F90" s="273"/>
      <c r="G90" s="125"/>
      <c r="H90" s="125"/>
      <c r="I90" s="125"/>
      <c r="J90" s="125"/>
      <c r="K90" s="125"/>
      <c r="L90" s="125"/>
      <c r="M90" s="125"/>
      <c r="N90" s="125"/>
      <c r="O90" s="130"/>
      <c r="P90" s="130"/>
      <c r="Q90" s="130"/>
    </row>
    <row r="92" spans="2:18" x14ac:dyDescent="0.25">
      <c r="C92" s="252" t="s">
        <v>38</v>
      </c>
      <c r="D92" s="249" t="s">
        <v>143</v>
      </c>
      <c r="E92" s="250"/>
      <c r="F92" s="251"/>
      <c r="G92" s="255" t="s">
        <v>39</v>
      </c>
      <c r="H92" s="255"/>
      <c r="I92" s="255"/>
      <c r="J92" s="255"/>
      <c r="K92" s="255"/>
      <c r="L92" s="255"/>
      <c r="M92" s="255"/>
      <c r="N92" s="255"/>
      <c r="O92" s="255"/>
      <c r="P92" s="255"/>
      <c r="Q92" s="17"/>
      <c r="R92" s="17"/>
    </row>
    <row r="93" spans="2:18" x14ac:dyDescent="0.25">
      <c r="C93" s="253"/>
      <c r="D93" s="239">
        <v>0</v>
      </c>
      <c r="E93" s="239"/>
      <c r="F93" s="239"/>
      <c r="G93" s="24">
        <v>1</v>
      </c>
      <c r="H93" s="25">
        <v>2</v>
      </c>
      <c r="I93" s="25">
        <v>3</v>
      </c>
      <c r="J93" s="25">
        <v>4</v>
      </c>
      <c r="K93" s="25">
        <v>5</v>
      </c>
      <c r="L93" s="25">
        <v>6</v>
      </c>
      <c r="M93" s="25">
        <v>7</v>
      </c>
      <c r="N93" s="25">
        <v>8</v>
      </c>
      <c r="O93" s="25">
        <v>9</v>
      </c>
      <c r="P93" s="24">
        <v>10</v>
      </c>
    </row>
    <row r="94" spans="2:18" ht="25.5" customHeight="1" x14ac:dyDescent="0.25">
      <c r="C94" s="254"/>
      <c r="D94" s="95">
        <v>2024</v>
      </c>
      <c r="E94" s="95">
        <v>2025</v>
      </c>
      <c r="F94" s="95">
        <v>2026</v>
      </c>
      <c r="G94" s="95">
        <v>2027</v>
      </c>
      <c r="H94" s="95">
        <v>2028</v>
      </c>
      <c r="I94" s="95">
        <v>2029</v>
      </c>
      <c r="J94" s="95">
        <v>2030</v>
      </c>
      <c r="K94" s="95">
        <v>2031</v>
      </c>
      <c r="L94" s="95">
        <v>2032</v>
      </c>
      <c r="M94" s="95">
        <v>2033</v>
      </c>
      <c r="N94" s="95">
        <v>2034</v>
      </c>
      <c r="O94" s="95">
        <v>2035</v>
      </c>
      <c r="P94" s="95">
        <v>2036</v>
      </c>
    </row>
    <row r="95" spans="2:18" ht="25.5" x14ac:dyDescent="0.25">
      <c r="C95" s="28" t="s">
        <v>379</v>
      </c>
      <c r="D95" s="98">
        <f>+SUM(D96:D101)</f>
        <v>291.20000000000005</v>
      </c>
      <c r="E95" s="98">
        <f>+SUM(E96:E101)</f>
        <v>292</v>
      </c>
      <c r="F95" s="120">
        <f t="shared" ref="F95:P95" si="29">+SUM(F96:F101)</f>
        <v>292</v>
      </c>
      <c r="G95" s="106">
        <f t="shared" si="29"/>
        <v>292</v>
      </c>
      <c r="H95" s="106">
        <f t="shared" si="29"/>
        <v>292</v>
      </c>
      <c r="I95" s="106">
        <f t="shared" si="29"/>
        <v>292</v>
      </c>
      <c r="J95" s="106">
        <f t="shared" si="29"/>
        <v>292</v>
      </c>
      <c r="K95" s="106">
        <f t="shared" si="29"/>
        <v>292</v>
      </c>
      <c r="L95" s="106">
        <f t="shared" si="29"/>
        <v>292</v>
      </c>
      <c r="M95" s="106">
        <f t="shared" si="29"/>
        <v>292</v>
      </c>
      <c r="N95" s="106">
        <f t="shared" si="29"/>
        <v>292</v>
      </c>
      <c r="O95" s="106">
        <f t="shared" si="29"/>
        <v>292</v>
      </c>
      <c r="P95" s="106">
        <f t="shared" si="29"/>
        <v>292</v>
      </c>
    </row>
    <row r="96" spans="2:18" x14ac:dyDescent="0.25">
      <c r="C96" s="105" t="s">
        <v>181</v>
      </c>
      <c r="D96" s="94">
        <f>+'POBLACION DEMANDANTE EFECTIVA'!D56*E85</f>
        <v>43.2</v>
      </c>
      <c r="E96" s="94">
        <f>ROUND(($D$96*(1+$A$9)^(E94-D94)),0)</f>
        <v>43</v>
      </c>
      <c r="F96" s="94">
        <f t="shared" ref="F96:P96" si="30">ROUND(($D$96*(1+$A$9)^(F94-E94)),0)</f>
        <v>43</v>
      </c>
      <c r="G96" s="94">
        <f t="shared" si="30"/>
        <v>43</v>
      </c>
      <c r="H96" s="94">
        <f t="shared" si="30"/>
        <v>43</v>
      </c>
      <c r="I96" s="94">
        <f t="shared" si="30"/>
        <v>43</v>
      </c>
      <c r="J96" s="94">
        <f t="shared" si="30"/>
        <v>43</v>
      </c>
      <c r="K96" s="94">
        <f t="shared" si="30"/>
        <v>43</v>
      </c>
      <c r="L96" s="94">
        <f t="shared" si="30"/>
        <v>43</v>
      </c>
      <c r="M96" s="94">
        <f t="shared" si="30"/>
        <v>43</v>
      </c>
      <c r="N96" s="94">
        <f t="shared" si="30"/>
        <v>43</v>
      </c>
      <c r="O96" s="94">
        <f t="shared" si="30"/>
        <v>43</v>
      </c>
      <c r="P96" s="94">
        <f t="shared" si="30"/>
        <v>43</v>
      </c>
    </row>
    <row r="97" spans="2:19" x14ac:dyDescent="0.25">
      <c r="C97" s="51" t="s">
        <v>182</v>
      </c>
      <c r="D97" s="94">
        <f>+'POBLACION DEMANDANTE EFECTIVA'!D57*E86</f>
        <v>69.600000000000009</v>
      </c>
      <c r="E97" s="94">
        <f>ROUND(($D$97*(1+$A$9)^(E94-D94)),0)</f>
        <v>70</v>
      </c>
      <c r="F97" s="94">
        <f t="shared" ref="F97:P97" si="31">ROUND(($D$97*(1+$A$9)^(F94-E94)),0)</f>
        <v>70</v>
      </c>
      <c r="G97" s="94">
        <f t="shared" si="31"/>
        <v>70</v>
      </c>
      <c r="H97" s="94">
        <f t="shared" si="31"/>
        <v>70</v>
      </c>
      <c r="I97" s="94">
        <f t="shared" si="31"/>
        <v>70</v>
      </c>
      <c r="J97" s="94">
        <f t="shared" si="31"/>
        <v>70</v>
      </c>
      <c r="K97" s="94">
        <f t="shared" si="31"/>
        <v>70</v>
      </c>
      <c r="L97" s="94">
        <f t="shared" si="31"/>
        <v>70</v>
      </c>
      <c r="M97" s="94">
        <f t="shared" si="31"/>
        <v>70</v>
      </c>
      <c r="N97" s="94">
        <f t="shared" si="31"/>
        <v>70</v>
      </c>
      <c r="O97" s="94">
        <f t="shared" si="31"/>
        <v>70</v>
      </c>
      <c r="P97" s="94">
        <f t="shared" si="31"/>
        <v>70</v>
      </c>
    </row>
    <row r="98" spans="2:19" x14ac:dyDescent="0.25">
      <c r="C98" s="51" t="s">
        <v>183</v>
      </c>
      <c r="D98" s="94">
        <f>+'POBLACION DEMANDANTE EFECTIVA'!D58*E87</f>
        <v>52.800000000000004</v>
      </c>
      <c r="E98" s="94">
        <f>ROUND(($D$98*(1+$A$9)^(E94-D94)),0)</f>
        <v>53</v>
      </c>
      <c r="F98" s="94">
        <f t="shared" ref="F98:P98" si="32">ROUND(($D$98*(1+$A$9)^(F94-E94)),0)</f>
        <v>53</v>
      </c>
      <c r="G98" s="94">
        <f t="shared" si="32"/>
        <v>53</v>
      </c>
      <c r="H98" s="94">
        <f t="shared" si="32"/>
        <v>53</v>
      </c>
      <c r="I98" s="94">
        <f t="shared" si="32"/>
        <v>53</v>
      </c>
      <c r="J98" s="94">
        <f t="shared" si="32"/>
        <v>53</v>
      </c>
      <c r="K98" s="94">
        <f t="shared" si="32"/>
        <v>53</v>
      </c>
      <c r="L98" s="94">
        <f t="shared" si="32"/>
        <v>53</v>
      </c>
      <c r="M98" s="94">
        <f t="shared" si="32"/>
        <v>53</v>
      </c>
      <c r="N98" s="94">
        <f t="shared" si="32"/>
        <v>53</v>
      </c>
      <c r="O98" s="94">
        <f t="shared" si="32"/>
        <v>53</v>
      </c>
      <c r="P98" s="94">
        <f t="shared" si="32"/>
        <v>53</v>
      </c>
    </row>
    <row r="99" spans="2:19" x14ac:dyDescent="0.25">
      <c r="C99" s="51" t="s">
        <v>184</v>
      </c>
      <c r="D99" s="94">
        <f>+'POBLACION DEMANDANTE EFECTIVA'!D59*E88</f>
        <v>43.2</v>
      </c>
      <c r="E99" s="94">
        <f>ROUND(($D$99*(1+$A$9)^(E94-D94)),0)</f>
        <v>43</v>
      </c>
      <c r="F99" s="94">
        <f t="shared" ref="F99:P99" si="33">ROUND(($D$99*(1+$A$9)^(F94-E94)),0)</f>
        <v>43</v>
      </c>
      <c r="G99" s="94">
        <f t="shared" si="33"/>
        <v>43</v>
      </c>
      <c r="H99" s="94">
        <f t="shared" si="33"/>
        <v>43</v>
      </c>
      <c r="I99" s="94">
        <f t="shared" si="33"/>
        <v>43</v>
      </c>
      <c r="J99" s="94">
        <f t="shared" si="33"/>
        <v>43</v>
      </c>
      <c r="K99" s="94">
        <f t="shared" si="33"/>
        <v>43</v>
      </c>
      <c r="L99" s="94">
        <f t="shared" si="33"/>
        <v>43</v>
      </c>
      <c r="M99" s="94">
        <f t="shared" si="33"/>
        <v>43</v>
      </c>
      <c r="N99" s="94">
        <f t="shared" si="33"/>
        <v>43</v>
      </c>
      <c r="O99" s="94">
        <f t="shared" si="33"/>
        <v>43</v>
      </c>
      <c r="P99" s="94">
        <f t="shared" si="33"/>
        <v>43</v>
      </c>
    </row>
    <row r="100" spans="2:19" x14ac:dyDescent="0.25">
      <c r="C100" s="51" t="s">
        <v>185</v>
      </c>
      <c r="D100" s="94">
        <f>+'POBLACION DEMANDANTE EFECTIVA'!D60*E89</f>
        <v>36.800000000000004</v>
      </c>
      <c r="E100" s="94">
        <f>ROUND(($D$100*(1+$A$9)^(E94-D94)),0)</f>
        <v>37</v>
      </c>
      <c r="F100" s="94">
        <f t="shared" ref="F100:P100" si="34">ROUND(($D$100*(1+$A$9)^(F94-E94)),0)</f>
        <v>37</v>
      </c>
      <c r="G100" s="94">
        <f t="shared" si="34"/>
        <v>37</v>
      </c>
      <c r="H100" s="94">
        <f t="shared" si="34"/>
        <v>37</v>
      </c>
      <c r="I100" s="94">
        <f t="shared" si="34"/>
        <v>37</v>
      </c>
      <c r="J100" s="94">
        <f t="shared" si="34"/>
        <v>37</v>
      </c>
      <c r="K100" s="94">
        <f t="shared" si="34"/>
        <v>37</v>
      </c>
      <c r="L100" s="94">
        <f t="shared" si="34"/>
        <v>37</v>
      </c>
      <c r="M100" s="94">
        <f t="shared" si="34"/>
        <v>37</v>
      </c>
      <c r="N100" s="94">
        <f t="shared" si="34"/>
        <v>37</v>
      </c>
      <c r="O100" s="94">
        <f t="shared" si="34"/>
        <v>37</v>
      </c>
      <c r="P100" s="94">
        <f t="shared" si="34"/>
        <v>37</v>
      </c>
    </row>
    <row r="101" spans="2:19" x14ac:dyDescent="0.25">
      <c r="C101" s="109" t="s">
        <v>186</v>
      </c>
      <c r="D101" s="94">
        <f>+'POBLACION DEMANDANTE EFECTIVA'!D61*E90</f>
        <v>45.6</v>
      </c>
      <c r="E101" s="94">
        <f>ROUND(($D$101*(1+$A$9)^(E94-D94)),0)</f>
        <v>46</v>
      </c>
      <c r="F101" s="94">
        <f t="shared" ref="F101:P101" si="35">ROUND(($D$101*(1+$A$9)^(F94-E94)),0)</f>
        <v>46</v>
      </c>
      <c r="G101" s="94">
        <f t="shared" si="35"/>
        <v>46</v>
      </c>
      <c r="H101" s="94">
        <f t="shared" si="35"/>
        <v>46</v>
      </c>
      <c r="I101" s="94">
        <f t="shared" si="35"/>
        <v>46</v>
      </c>
      <c r="J101" s="94">
        <f t="shared" si="35"/>
        <v>46</v>
      </c>
      <c r="K101" s="94">
        <f t="shared" si="35"/>
        <v>46</v>
      </c>
      <c r="L101" s="94">
        <f t="shared" si="35"/>
        <v>46</v>
      </c>
      <c r="M101" s="94">
        <f t="shared" si="35"/>
        <v>46</v>
      </c>
      <c r="N101" s="94">
        <f t="shared" si="35"/>
        <v>46</v>
      </c>
      <c r="O101" s="94">
        <f t="shared" si="35"/>
        <v>46</v>
      </c>
      <c r="P101" s="94">
        <f t="shared" si="35"/>
        <v>46</v>
      </c>
    </row>
    <row r="102" spans="2:19" x14ac:dyDescent="0.25"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112"/>
      <c r="R102" s="112"/>
    </row>
    <row r="103" spans="2:19" ht="29.25" customHeight="1" x14ac:dyDescent="0.25">
      <c r="B103" s="130"/>
      <c r="C103" s="275" t="s">
        <v>484</v>
      </c>
      <c r="D103" s="276"/>
      <c r="E103" s="276"/>
      <c r="F103" s="27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30"/>
    </row>
    <row r="104" spans="2:19" ht="76.5" customHeight="1" x14ac:dyDescent="0.25">
      <c r="B104" s="130"/>
      <c r="C104" s="20" t="s">
        <v>212</v>
      </c>
      <c r="D104" s="20" t="s">
        <v>31</v>
      </c>
      <c r="E104" s="239" t="s">
        <v>445</v>
      </c>
      <c r="F104" s="239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30"/>
    </row>
    <row r="105" spans="2:19" x14ac:dyDescent="0.25">
      <c r="B105" s="130"/>
      <c r="C105" s="267" t="s">
        <v>215</v>
      </c>
      <c r="D105" s="30" t="s">
        <v>181</v>
      </c>
      <c r="E105" s="268">
        <v>1</v>
      </c>
      <c r="F105" s="269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30"/>
    </row>
    <row r="106" spans="2:19" x14ac:dyDescent="0.25">
      <c r="B106" s="130"/>
      <c r="C106" s="267"/>
      <c r="D106" s="30" t="s">
        <v>182</v>
      </c>
      <c r="E106" s="270">
        <v>1</v>
      </c>
      <c r="F106" s="271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30"/>
    </row>
    <row r="107" spans="2:19" x14ac:dyDescent="0.25">
      <c r="B107" s="130"/>
      <c r="C107" s="267"/>
      <c r="D107" s="30" t="s">
        <v>183</v>
      </c>
      <c r="E107" s="270">
        <v>1</v>
      </c>
      <c r="F107" s="271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30"/>
    </row>
    <row r="108" spans="2:19" x14ac:dyDescent="0.25">
      <c r="B108" s="130"/>
      <c r="C108" s="267"/>
      <c r="D108" s="30" t="s">
        <v>184</v>
      </c>
      <c r="E108" s="270">
        <v>1</v>
      </c>
      <c r="F108" s="271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30"/>
    </row>
    <row r="109" spans="2:19" x14ac:dyDescent="0.25">
      <c r="B109" s="130"/>
      <c r="C109" s="267"/>
      <c r="D109" s="30" t="s">
        <v>185</v>
      </c>
      <c r="E109" s="270">
        <v>1</v>
      </c>
      <c r="F109" s="271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30"/>
    </row>
    <row r="110" spans="2:19" x14ac:dyDescent="0.25">
      <c r="B110" s="130"/>
      <c r="C110" s="267"/>
      <c r="D110" s="30" t="s">
        <v>186</v>
      </c>
      <c r="E110" s="272">
        <v>1</v>
      </c>
      <c r="F110" s="273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30"/>
    </row>
    <row r="111" spans="2:19" x14ac:dyDescent="0.25"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9"/>
      <c r="R111" s="112"/>
      <c r="S111" s="112"/>
    </row>
    <row r="112" spans="2:19" x14ac:dyDescent="0.25">
      <c r="C112" s="252" t="s">
        <v>38</v>
      </c>
      <c r="D112" s="249" t="s">
        <v>143</v>
      </c>
      <c r="E112" s="250"/>
      <c r="F112" s="251"/>
      <c r="G112" s="255" t="s">
        <v>39</v>
      </c>
      <c r="H112" s="255"/>
      <c r="I112" s="255"/>
      <c r="J112" s="255"/>
      <c r="K112" s="255"/>
      <c r="L112" s="255"/>
      <c r="M112" s="255"/>
      <c r="N112" s="255"/>
      <c r="O112" s="255"/>
      <c r="P112" s="255"/>
    </row>
    <row r="113" spans="2:18" x14ac:dyDescent="0.25">
      <c r="C113" s="253"/>
      <c r="D113" s="239">
        <v>0</v>
      </c>
      <c r="E113" s="239"/>
      <c r="F113" s="239"/>
      <c r="G113" s="24">
        <v>1</v>
      </c>
      <c r="H113" s="25">
        <v>2</v>
      </c>
      <c r="I113" s="25">
        <v>3</v>
      </c>
      <c r="J113" s="25">
        <v>4</v>
      </c>
      <c r="K113" s="25">
        <v>5</v>
      </c>
      <c r="L113" s="25">
        <v>6</v>
      </c>
      <c r="M113" s="25">
        <v>7</v>
      </c>
      <c r="N113" s="25">
        <v>8</v>
      </c>
      <c r="O113" s="25">
        <v>9</v>
      </c>
      <c r="P113" s="24">
        <v>10</v>
      </c>
    </row>
    <row r="114" spans="2:18" x14ac:dyDescent="0.25">
      <c r="C114" s="254"/>
      <c r="D114" s="95">
        <f t="shared" ref="D114:P114" si="36">+D94</f>
        <v>2024</v>
      </c>
      <c r="E114" s="95">
        <f t="shared" si="36"/>
        <v>2025</v>
      </c>
      <c r="F114" s="95">
        <f t="shared" si="36"/>
        <v>2026</v>
      </c>
      <c r="G114" s="95">
        <f t="shared" si="36"/>
        <v>2027</v>
      </c>
      <c r="H114" s="95">
        <f t="shared" si="36"/>
        <v>2028</v>
      </c>
      <c r="I114" s="95">
        <f t="shared" si="36"/>
        <v>2029</v>
      </c>
      <c r="J114" s="95">
        <f t="shared" si="36"/>
        <v>2030</v>
      </c>
      <c r="K114" s="95">
        <f t="shared" si="36"/>
        <v>2031</v>
      </c>
      <c r="L114" s="95">
        <f t="shared" si="36"/>
        <v>2032</v>
      </c>
      <c r="M114" s="95">
        <f t="shared" si="36"/>
        <v>2033</v>
      </c>
      <c r="N114" s="95">
        <f t="shared" si="36"/>
        <v>2034</v>
      </c>
      <c r="O114" s="95">
        <f t="shared" si="36"/>
        <v>2035</v>
      </c>
      <c r="P114" s="95">
        <f t="shared" si="36"/>
        <v>2036</v>
      </c>
    </row>
    <row r="115" spans="2:18" ht="26.25" customHeight="1" x14ac:dyDescent="0.25">
      <c r="C115" s="28" t="s">
        <v>383</v>
      </c>
      <c r="D115" s="98">
        <f>+SUM(D116:D121)</f>
        <v>291.20000000000005</v>
      </c>
      <c r="E115" s="98">
        <f t="shared" ref="E115:P115" si="37">+SUM(E116:E121)</f>
        <v>292</v>
      </c>
      <c r="F115" s="98">
        <f t="shared" si="37"/>
        <v>292</v>
      </c>
      <c r="G115" s="106">
        <f t="shared" si="37"/>
        <v>292</v>
      </c>
      <c r="H115" s="106">
        <f t="shared" si="37"/>
        <v>292</v>
      </c>
      <c r="I115" s="106">
        <f t="shared" si="37"/>
        <v>292</v>
      </c>
      <c r="J115" s="106">
        <f t="shared" si="37"/>
        <v>292</v>
      </c>
      <c r="K115" s="106">
        <f t="shared" si="37"/>
        <v>292</v>
      </c>
      <c r="L115" s="106">
        <f t="shared" si="37"/>
        <v>292</v>
      </c>
      <c r="M115" s="106">
        <f t="shared" si="37"/>
        <v>292</v>
      </c>
      <c r="N115" s="106">
        <f t="shared" si="37"/>
        <v>292</v>
      </c>
      <c r="O115" s="106">
        <f t="shared" si="37"/>
        <v>292</v>
      </c>
      <c r="P115" s="106">
        <f t="shared" si="37"/>
        <v>292</v>
      </c>
    </row>
    <row r="116" spans="2:18" x14ac:dyDescent="0.25">
      <c r="C116" s="105" t="s">
        <v>181</v>
      </c>
      <c r="D116" s="94">
        <f>+'POBLACION DEMANDANTE EFECTIVA'!D68*E105</f>
        <v>43.2</v>
      </c>
      <c r="E116" s="94">
        <f>ROUND(($D$116*(1+$A$9)^(E114-$D$114)),0)</f>
        <v>43</v>
      </c>
      <c r="F116" s="94">
        <f t="shared" ref="F116:P116" si="38">ROUND(($D$116*(1+$A$9)^(F114-$D$114)),0)</f>
        <v>43</v>
      </c>
      <c r="G116" s="94">
        <f t="shared" si="38"/>
        <v>43</v>
      </c>
      <c r="H116" s="94">
        <f t="shared" si="38"/>
        <v>43</v>
      </c>
      <c r="I116" s="94">
        <f t="shared" si="38"/>
        <v>43</v>
      </c>
      <c r="J116" s="94">
        <f t="shared" si="38"/>
        <v>43</v>
      </c>
      <c r="K116" s="94">
        <f t="shared" si="38"/>
        <v>43</v>
      </c>
      <c r="L116" s="94">
        <f t="shared" si="38"/>
        <v>43</v>
      </c>
      <c r="M116" s="94">
        <f t="shared" si="38"/>
        <v>43</v>
      </c>
      <c r="N116" s="94">
        <f t="shared" si="38"/>
        <v>43</v>
      </c>
      <c r="O116" s="94">
        <f t="shared" si="38"/>
        <v>43</v>
      </c>
      <c r="P116" s="94">
        <f t="shared" si="38"/>
        <v>43</v>
      </c>
    </row>
    <row r="117" spans="2:18" x14ac:dyDescent="0.25">
      <c r="C117" s="51" t="s">
        <v>182</v>
      </c>
      <c r="D117" s="94">
        <f>+'POBLACION DEMANDANTE EFECTIVA'!D69*E106</f>
        <v>69.600000000000009</v>
      </c>
      <c r="E117" s="94">
        <f>ROUND(($D$117*(1+$A$9)^(E114-$D$114)),0)</f>
        <v>70</v>
      </c>
      <c r="F117" s="94">
        <f t="shared" ref="F117:P117" si="39">ROUND(($D$117*(1+$A$9)^(F114-$D$114)),0)</f>
        <v>70</v>
      </c>
      <c r="G117" s="94">
        <f t="shared" si="39"/>
        <v>70</v>
      </c>
      <c r="H117" s="94">
        <f t="shared" si="39"/>
        <v>70</v>
      </c>
      <c r="I117" s="94">
        <f t="shared" si="39"/>
        <v>70</v>
      </c>
      <c r="J117" s="94">
        <f t="shared" si="39"/>
        <v>70</v>
      </c>
      <c r="K117" s="94">
        <f t="shared" si="39"/>
        <v>70</v>
      </c>
      <c r="L117" s="94">
        <f t="shared" si="39"/>
        <v>70</v>
      </c>
      <c r="M117" s="94">
        <f t="shared" si="39"/>
        <v>70</v>
      </c>
      <c r="N117" s="94">
        <f t="shared" si="39"/>
        <v>70</v>
      </c>
      <c r="O117" s="94">
        <f t="shared" si="39"/>
        <v>70</v>
      </c>
      <c r="P117" s="94">
        <f t="shared" si="39"/>
        <v>70</v>
      </c>
    </row>
    <row r="118" spans="2:18" x14ac:dyDescent="0.25">
      <c r="C118" s="51" t="s">
        <v>183</v>
      </c>
      <c r="D118" s="94">
        <f>+'POBLACION DEMANDANTE EFECTIVA'!D70*E107</f>
        <v>52.800000000000004</v>
      </c>
      <c r="E118" s="94">
        <f>ROUND(($D$118*(1+$A$9)^(E114-$D$114)),0)</f>
        <v>53</v>
      </c>
      <c r="F118" s="94">
        <f t="shared" ref="F118:P118" si="40">ROUND(($D$118*(1+$A$9)^(F114-$D$114)),0)</f>
        <v>53</v>
      </c>
      <c r="G118" s="94">
        <f t="shared" si="40"/>
        <v>53</v>
      </c>
      <c r="H118" s="94">
        <f t="shared" si="40"/>
        <v>53</v>
      </c>
      <c r="I118" s="94">
        <f t="shared" si="40"/>
        <v>53</v>
      </c>
      <c r="J118" s="94">
        <f t="shared" si="40"/>
        <v>53</v>
      </c>
      <c r="K118" s="94">
        <f t="shared" si="40"/>
        <v>53</v>
      </c>
      <c r="L118" s="94">
        <f t="shared" si="40"/>
        <v>53</v>
      </c>
      <c r="M118" s="94">
        <f t="shared" si="40"/>
        <v>53</v>
      </c>
      <c r="N118" s="94">
        <f t="shared" si="40"/>
        <v>53</v>
      </c>
      <c r="O118" s="94">
        <f t="shared" si="40"/>
        <v>53</v>
      </c>
      <c r="P118" s="94">
        <f t="shared" si="40"/>
        <v>53</v>
      </c>
    </row>
    <row r="119" spans="2:18" x14ac:dyDescent="0.25">
      <c r="C119" s="51" t="s">
        <v>184</v>
      </c>
      <c r="D119" s="94">
        <f>+'POBLACION DEMANDANTE EFECTIVA'!D71*E108</f>
        <v>43.2</v>
      </c>
      <c r="E119" s="94">
        <f>ROUND(($D$119*(1+$A$9)^(E114-$D$114)),0)</f>
        <v>43</v>
      </c>
      <c r="F119" s="94">
        <f t="shared" ref="F119:P119" si="41">ROUND(($D$119*(1+$A$9)^(F114-$D$114)),0)</f>
        <v>43</v>
      </c>
      <c r="G119" s="94">
        <f t="shared" si="41"/>
        <v>43</v>
      </c>
      <c r="H119" s="94">
        <f t="shared" si="41"/>
        <v>43</v>
      </c>
      <c r="I119" s="94">
        <f t="shared" si="41"/>
        <v>43</v>
      </c>
      <c r="J119" s="94">
        <f t="shared" si="41"/>
        <v>43</v>
      </c>
      <c r="K119" s="94">
        <f t="shared" si="41"/>
        <v>43</v>
      </c>
      <c r="L119" s="94">
        <f t="shared" si="41"/>
        <v>43</v>
      </c>
      <c r="M119" s="94">
        <f t="shared" si="41"/>
        <v>43</v>
      </c>
      <c r="N119" s="94">
        <f t="shared" si="41"/>
        <v>43</v>
      </c>
      <c r="O119" s="94">
        <f t="shared" si="41"/>
        <v>43</v>
      </c>
      <c r="P119" s="94">
        <f t="shared" si="41"/>
        <v>43</v>
      </c>
    </row>
    <row r="120" spans="2:18" x14ac:dyDescent="0.25">
      <c r="C120" s="51" t="s">
        <v>185</v>
      </c>
      <c r="D120" s="94">
        <f>+'POBLACION DEMANDANTE EFECTIVA'!D72*E109</f>
        <v>36.800000000000004</v>
      </c>
      <c r="E120" s="94">
        <f>ROUND(($D$120*(1+$A$9)^(E114-$D$114)),0)</f>
        <v>37</v>
      </c>
      <c r="F120" s="94">
        <f t="shared" ref="F120:P120" si="42">ROUND(($D$120*(1+$A$9)^(F114-$D$114)),0)</f>
        <v>37</v>
      </c>
      <c r="G120" s="94">
        <f t="shared" si="42"/>
        <v>37</v>
      </c>
      <c r="H120" s="94">
        <f t="shared" si="42"/>
        <v>37</v>
      </c>
      <c r="I120" s="94">
        <f t="shared" si="42"/>
        <v>37</v>
      </c>
      <c r="J120" s="94">
        <f t="shared" si="42"/>
        <v>37</v>
      </c>
      <c r="K120" s="94">
        <f t="shared" si="42"/>
        <v>37</v>
      </c>
      <c r="L120" s="94">
        <f t="shared" si="42"/>
        <v>37</v>
      </c>
      <c r="M120" s="94">
        <f t="shared" si="42"/>
        <v>37</v>
      </c>
      <c r="N120" s="94">
        <f t="shared" si="42"/>
        <v>37</v>
      </c>
      <c r="O120" s="94">
        <f t="shared" si="42"/>
        <v>37</v>
      </c>
      <c r="P120" s="94">
        <f t="shared" si="42"/>
        <v>37</v>
      </c>
    </row>
    <row r="121" spans="2:18" x14ac:dyDescent="0.25">
      <c r="C121" s="109" t="s">
        <v>186</v>
      </c>
      <c r="D121" s="94">
        <f>+'POBLACION DEMANDANTE EFECTIVA'!D73*E110</f>
        <v>45.6</v>
      </c>
      <c r="E121" s="94">
        <f>ROUND(($D$121*(1+$A$9)^(E114-$D$114)),0)</f>
        <v>46</v>
      </c>
      <c r="F121" s="94">
        <f t="shared" ref="F121:P121" si="43">ROUND(($D$121*(1+$A$9)^(F114-$D$114)),0)</f>
        <v>46</v>
      </c>
      <c r="G121" s="94">
        <f t="shared" si="43"/>
        <v>46</v>
      </c>
      <c r="H121" s="94">
        <f t="shared" si="43"/>
        <v>46</v>
      </c>
      <c r="I121" s="94">
        <f t="shared" si="43"/>
        <v>46</v>
      </c>
      <c r="J121" s="94">
        <f t="shared" si="43"/>
        <v>46</v>
      </c>
      <c r="K121" s="94">
        <f t="shared" si="43"/>
        <v>46</v>
      </c>
      <c r="L121" s="94">
        <f t="shared" si="43"/>
        <v>46</v>
      </c>
      <c r="M121" s="94">
        <f t="shared" si="43"/>
        <v>46</v>
      </c>
      <c r="N121" s="94">
        <f t="shared" si="43"/>
        <v>46</v>
      </c>
      <c r="O121" s="94">
        <f t="shared" si="43"/>
        <v>46</v>
      </c>
      <c r="P121" s="94">
        <f t="shared" si="43"/>
        <v>46</v>
      </c>
    </row>
    <row r="122" spans="2:18" x14ac:dyDescent="0.25">
      <c r="B122" s="256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</row>
    <row r="123" spans="2:18" ht="24" customHeight="1" x14ac:dyDescent="0.25">
      <c r="B123" s="130"/>
      <c r="C123" s="267" t="s">
        <v>433</v>
      </c>
      <c r="D123" s="267"/>
      <c r="E123" s="267"/>
      <c r="F123" s="26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30"/>
    </row>
    <row r="124" spans="2:18" ht="76.5" customHeight="1" x14ac:dyDescent="0.25">
      <c r="B124" s="130"/>
      <c r="C124" s="26" t="s">
        <v>212</v>
      </c>
      <c r="D124" s="26" t="s">
        <v>31</v>
      </c>
      <c r="E124" s="239" t="s">
        <v>445</v>
      </c>
      <c r="F124" s="239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30"/>
    </row>
    <row r="125" spans="2:18" x14ac:dyDescent="0.25">
      <c r="B125" s="130"/>
      <c r="C125" s="267" t="s">
        <v>216</v>
      </c>
      <c r="D125" s="94" t="s">
        <v>187</v>
      </c>
      <c r="E125" s="268">
        <v>1</v>
      </c>
      <c r="F125" s="269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30"/>
    </row>
    <row r="126" spans="2:18" x14ac:dyDescent="0.25">
      <c r="B126" s="130"/>
      <c r="C126" s="267"/>
      <c r="D126" s="94" t="s">
        <v>150</v>
      </c>
      <c r="E126" s="270">
        <v>1</v>
      </c>
      <c r="F126" s="271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30"/>
    </row>
    <row r="127" spans="2:18" x14ac:dyDescent="0.25">
      <c r="B127" s="130"/>
      <c r="C127" s="267"/>
      <c r="D127" s="94" t="s">
        <v>188</v>
      </c>
      <c r="E127" s="270">
        <v>1</v>
      </c>
      <c r="F127" s="271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30"/>
    </row>
    <row r="128" spans="2:18" x14ac:dyDescent="0.25">
      <c r="B128" s="130"/>
      <c r="C128" s="267"/>
      <c r="D128" s="94" t="s">
        <v>189</v>
      </c>
      <c r="E128" s="270">
        <v>1</v>
      </c>
      <c r="F128" s="271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30"/>
    </row>
    <row r="129" spans="2:19" x14ac:dyDescent="0.25">
      <c r="B129" s="130"/>
      <c r="C129" s="267"/>
      <c r="D129" s="94" t="s">
        <v>220</v>
      </c>
      <c r="E129" s="270">
        <v>1</v>
      </c>
      <c r="F129" s="271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30"/>
    </row>
    <row r="130" spans="2:19" x14ac:dyDescent="0.25">
      <c r="B130" s="130"/>
      <c r="C130" s="267"/>
      <c r="D130" s="94" t="s">
        <v>221</v>
      </c>
      <c r="E130" s="272">
        <v>1</v>
      </c>
      <c r="F130" s="273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30"/>
    </row>
    <row r="131" spans="2:19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2:19" x14ac:dyDescent="0.25">
      <c r="C132" s="252" t="s">
        <v>38</v>
      </c>
      <c r="D132" s="249" t="s">
        <v>143</v>
      </c>
      <c r="E132" s="250"/>
      <c r="F132" s="251"/>
      <c r="G132" s="255" t="s">
        <v>39</v>
      </c>
      <c r="H132" s="255"/>
      <c r="I132" s="255"/>
      <c r="J132" s="255"/>
      <c r="K132" s="255"/>
      <c r="L132" s="255"/>
      <c r="M132" s="255"/>
      <c r="N132" s="255"/>
      <c r="O132" s="255"/>
      <c r="P132" s="255"/>
    </row>
    <row r="133" spans="2:19" x14ac:dyDescent="0.25">
      <c r="C133" s="253"/>
      <c r="D133" s="239">
        <v>0</v>
      </c>
      <c r="E133" s="239"/>
      <c r="F133" s="239"/>
      <c r="G133" s="24">
        <v>1</v>
      </c>
      <c r="H133" s="25">
        <v>2</v>
      </c>
      <c r="I133" s="25">
        <v>3</v>
      </c>
      <c r="J133" s="25">
        <v>4</v>
      </c>
      <c r="K133" s="25">
        <v>5</v>
      </c>
      <c r="L133" s="25">
        <v>6</v>
      </c>
      <c r="M133" s="25">
        <v>7</v>
      </c>
      <c r="N133" s="25">
        <v>8</v>
      </c>
      <c r="O133" s="25">
        <v>9</v>
      </c>
      <c r="P133" s="24">
        <v>10</v>
      </c>
    </row>
    <row r="134" spans="2:19" x14ac:dyDescent="0.25">
      <c r="C134" s="254"/>
      <c r="D134" s="95">
        <f t="shared" ref="D134:P134" si="44">+D114</f>
        <v>2024</v>
      </c>
      <c r="E134" s="95">
        <f t="shared" si="44"/>
        <v>2025</v>
      </c>
      <c r="F134" s="95">
        <f t="shared" si="44"/>
        <v>2026</v>
      </c>
      <c r="G134" s="95">
        <f t="shared" si="44"/>
        <v>2027</v>
      </c>
      <c r="H134" s="95">
        <f t="shared" si="44"/>
        <v>2028</v>
      </c>
      <c r="I134" s="95">
        <f t="shared" si="44"/>
        <v>2029</v>
      </c>
      <c r="J134" s="95">
        <f t="shared" si="44"/>
        <v>2030</v>
      </c>
      <c r="K134" s="95">
        <f t="shared" si="44"/>
        <v>2031</v>
      </c>
      <c r="L134" s="95">
        <f t="shared" si="44"/>
        <v>2032</v>
      </c>
      <c r="M134" s="95">
        <f t="shared" si="44"/>
        <v>2033</v>
      </c>
      <c r="N134" s="95">
        <f t="shared" si="44"/>
        <v>2034</v>
      </c>
      <c r="O134" s="95">
        <f t="shared" si="44"/>
        <v>2035</v>
      </c>
      <c r="P134" s="95">
        <f t="shared" si="44"/>
        <v>2036</v>
      </c>
    </row>
    <row r="135" spans="2:19" ht="27.75" customHeight="1" x14ac:dyDescent="0.25">
      <c r="C135" s="28" t="s">
        <v>243</v>
      </c>
      <c r="D135" s="98">
        <f>+SUM(D136:D141)</f>
        <v>31.200000000000003</v>
      </c>
      <c r="E135" s="98">
        <f>+SUM(E136:E141)</f>
        <v>32</v>
      </c>
      <c r="F135" s="98">
        <f t="shared" ref="F135:P135" si="45">+SUM(F136:F141)</f>
        <v>32</v>
      </c>
      <c r="G135" s="106">
        <f t="shared" si="45"/>
        <v>32</v>
      </c>
      <c r="H135" s="106">
        <f t="shared" si="45"/>
        <v>32</v>
      </c>
      <c r="I135" s="106">
        <f t="shared" si="45"/>
        <v>32</v>
      </c>
      <c r="J135" s="106">
        <f t="shared" si="45"/>
        <v>32</v>
      </c>
      <c r="K135" s="106">
        <f t="shared" si="45"/>
        <v>32</v>
      </c>
      <c r="L135" s="106">
        <f t="shared" si="45"/>
        <v>32</v>
      </c>
      <c r="M135" s="106">
        <f t="shared" si="45"/>
        <v>32</v>
      </c>
      <c r="N135" s="106">
        <f t="shared" si="45"/>
        <v>32</v>
      </c>
      <c r="O135" s="106">
        <f t="shared" si="45"/>
        <v>32</v>
      </c>
      <c r="P135" s="106">
        <f t="shared" si="45"/>
        <v>32</v>
      </c>
    </row>
    <row r="136" spans="2:19" x14ac:dyDescent="0.25">
      <c r="C136" s="105" t="s">
        <v>187</v>
      </c>
      <c r="D136" s="94">
        <f>+'POBLACION DEMANDANTE EFECTIVA'!D79*E125</f>
        <v>5.6000000000000005</v>
      </c>
      <c r="E136" s="94">
        <f>ROUND(($D$136*(1+$A$9)^(E134-$D$134)),0)</f>
        <v>6</v>
      </c>
      <c r="F136" s="94">
        <f>+'POBLACION DEMANDANTE EFECTIVA'!F79</f>
        <v>6</v>
      </c>
      <c r="G136" s="94">
        <f>+'POBLACION DEMANDANTE EFECTIVA'!G79</f>
        <v>6</v>
      </c>
      <c r="H136" s="94">
        <f>+'POBLACION DEMANDANTE EFECTIVA'!H79</f>
        <v>6</v>
      </c>
      <c r="I136" s="94">
        <f>+'POBLACION DEMANDANTE EFECTIVA'!I79</f>
        <v>6</v>
      </c>
      <c r="J136" s="94">
        <f>+'POBLACION DEMANDANTE EFECTIVA'!J79</f>
        <v>6</v>
      </c>
      <c r="K136" s="94">
        <f>+'POBLACION DEMANDANTE EFECTIVA'!K79</f>
        <v>6</v>
      </c>
      <c r="L136" s="94">
        <f>+'POBLACION DEMANDANTE EFECTIVA'!L79</f>
        <v>6</v>
      </c>
      <c r="M136" s="94">
        <f>+'POBLACION DEMANDANTE EFECTIVA'!M79</f>
        <v>6</v>
      </c>
      <c r="N136" s="94">
        <f>+'POBLACION DEMANDANTE EFECTIVA'!N79</f>
        <v>6</v>
      </c>
      <c r="O136" s="94">
        <f>+'POBLACION DEMANDANTE EFECTIVA'!O79</f>
        <v>6</v>
      </c>
      <c r="P136" s="94">
        <f>+'POBLACION DEMANDANTE EFECTIVA'!P79</f>
        <v>6</v>
      </c>
    </row>
    <row r="137" spans="2:19" x14ac:dyDescent="0.25">
      <c r="C137" s="51" t="s">
        <v>150</v>
      </c>
      <c r="D137" s="94">
        <f>+'POBLACION DEMANDANTE EFECTIVA'!D80*E126</f>
        <v>7.2</v>
      </c>
      <c r="E137" s="94">
        <f>ROUND(($D$137*(1+$A$9)^(E134-$D$134)),0)</f>
        <v>7</v>
      </c>
      <c r="F137" s="94">
        <f>+'POBLACION DEMANDANTE EFECTIVA'!F80</f>
        <v>7</v>
      </c>
      <c r="G137" s="94">
        <f>+'POBLACION DEMANDANTE EFECTIVA'!G80</f>
        <v>7</v>
      </c>
      <c r="H137" s="94">
        <f>+'POBLACION DEMANDANTE EFECTIVA'!H80</f>
        <v>7</v>
      </c>
      <c r="I137" s="94">
        <f>+'POBLACION DEMANDANTE EFECTIVA'!I80</f>
        <v>7</v>
      </c>
      <c r="J137" s="94">
        <f>+'POBLACION DEMANDANTE EFECTIVA'!J80</f>
        <v>7</v>
      </c>
      <c r="K137" s="94">
        <f>+'POBLACION DEMANDANTE EFECTIVA'!K80</f>
        <v>7</v>
      </c>
      <c r="L137" s="94">
        <f>+'POBLACION DEMANDANTE EFECTIVA'!L80</f>
        <v>7</v>
      </c>
      <c r="M137" s="94">
        <f>+'POBLACION DEMANDANTE EFECTIVA'!M80</f>
        <v>7</v>
      </c>
      <c r="N137" s="94">
        <f>+'POBLACION DEMANDANTE EFECTIVA'!N80</f>
        <v>7</v>
      </c>
      <c r="O137" s="94">
        <f>+'POBLACION DEMANDANTE EFECTIVA'!O80</f>
        <v>7</v>
      </c>
      <c r="P137" s="94">
        <f>+'POBLACION DEMANDANTE EFECTIVA'!P80</f>
        <v>7</v>
      </c>
    </row>
    <row r="138" spans="2:19" x14ac:dyDescent="0.25">
      <c r="C138" s="51" t="s">
        <v>188</v>
      </c>
      <c r="D138" s="94">
        <f>+'POBLACION DEMANDANTE EFECTIVA'!D81*E127</f>
        <v>5.6000000000000005</v>
      </c>
      <c r="E138" s="94">
        <f>ROUND(($D$138*(1+$A$9)^(E134-$D$134)),0)</f>
        <v>6</v>
      </c>
      <c r="F138" s="94">
        <f>+'POBLACION DEMANDANTE EFECTIVA'!F81</f>
        <v>6</v>
      </c>
      <c r="G138" s="94">
        <f>+'POBLACION DEMANDANTE EFECTIVA'!G81</f>
        <v>6</v>
      </c>
      <c r="H138" s="94">
        <f>+'POBLACION DEMANDANTE EFECTIVA'!H81</f>
        <v>6</v>
      </c>
      <c r="I138" s="94">
        <f>+'POBLACION DEMANDANTE EFECTIVA'!I81</f>
        <v>6</v>
      </c>
      <c r="J138" s="94">
        <f>+'POBLACION DEMANDANTE EFECTIVA'!J81</f>
        <v>6</v>
      </c>
      <c r="K138" s="94">
        <f>+'POBLACION DEMANDANTE EFECTIVA'!K81</f>
        <v>6</v>
      </c>
      <c r="L138" s="94">
        <f>+'POBLACION DEMANDANTE EFECTIVA'!L81</f>
        <v>6</v>
      </c>
      <c r="M138" s="94">
        <f>+'POBLACION DEMANDANTE EFECTIVA'!M81</f>
        <v>6</v>
      </c>
      <c r="N138" s="94">
        <f>+'POBLACION DEMANDANTE EFECTIVA'!N81</f>
        <v>6</v>
      </c>
      <c r="O138" s="94">
        <f>+'POBLACION DEMANDANTE EFECTIVA'!O81</f>
        <v>6</v>
      </c>
      <c r="P138" s="94">
        <f>+'POBLACION DEMANDANTE EFECTIVA'!P81</f>
        <v>6</v>
      </c>
    </row>
    <row r="139" spans="2:19" x14ac:dyDescent="0.25">
      <c r="C139" s="51" t="s">
        <v>189</v>
      </c>
      <c r="D139" s="94">
        <f>+'POBLACION DEMANDANTE EFECTIVA'!D82*E128</f>
        <v>4</v>
      </c>
      <c r="E139" s="94">
        <f>ROUND(($D$139*(1+$A$9)^(E134-$D$134)),0)</f>
        <v>4</v>
      </c>
      <c r="F139" s="94">
        <f>+'POBLACION DEMANDANTE EFECTIVA'!F82</f>
        <v>4</v>
      </c>
      <c r="G139" s="94">
        <f>+'POBLACION DEMANDANTE EFECTIVA'!G82</f>
        <v>4</v>
      </c>
      <c r="H139" s="94">
        <f>+'POBLACION DEMANDANTE EFECTIVA'!H82</f>
        <v>4</v>
      </c>
      <c r="I139" s="94">
        <f>+'POBLACION DEMANDANTE EFECTIVA'!I82</f>
        <v>4</v>
      </c>
      <c r="J139" s="94">
        <f>+'POBLACION DEMANDANTE EFECTIVA'!J82</f>
        <v>4</v>
      </c>
      <c r="K139" s="94">
        <f>+'POBLACION DEMANDANTE EFECTIVA'!K82</f>
        <v>4</v>
      </c>
      <c r="L139" s="94">
        <f>+'POBLACION DEMANDANTE EFECTIVA'!L82</f>
        <v>4</v>
      </c>
      <c r="M139" s="94">
        <f>+'POBLACION DEMANDANTE EFECTIVA'!M82</f>
        <v>4</v>
      </c>
      <c r="N139" s="94">
        <f>+'POBLACION DEMANDANTE EFECTIVA'!N82</f>
        <v>4</v>
      </c>
      <c r="O139" s="94">
        <f>+'POBLACION DEMANDANTE EFECTIVA'!O82</f>
        <v>4</v>
      </c>
      <c r="P139" s="94">
        <f>+'POBLACION DEMANDANTE EFECTIVA'!P82</f>
        <v>4</v>
      </c>
    </row>
    <row r="140" spans="2:19" x14ac:dyDescent="0.25">
      <c r="C140" s="51" t="s">
        <v>220</v>
      </c>
      <c r="D140" s="94">
        <f>+'POBLACION DEMANDANTE EFECTIVA'!D83*E129</f>
        <v>4.8000000000000007</v>
      </c>
      <c r="E140" s="94">
        <f>ROUND(($D$140*(1+$A$9)^(E134-$D$134)),0)</f>
        <v>5</v>
      </c>
      <c r="F140" s="94">
        <f>+'POBLACION DEMANDANTE EFECTIVA'!F83</f>
        <v>5</v>
      </c>
      <c r="G140" s="94">
        <f>+'POBLACION DEMANDANTE EFECTIVA'!G83</f>
        <v>5</v>
      </c>
      <c r="H140" s="94">
        <f>+'POBLACION DEMANDANTE EFECTIVA'!H83</f>
        <v>5</v>
      </c>
      <c r="I140" s="94">
        <f>+'POBLACION DEMANDANTE EFECTIVA'!I83</f>
        <v>5</v>
      </c>
      <c r="J140" s="94">
        <f>+'POBLACION DEMANDANTE EFECTIVA'!J83</f>
        <v>5</v>
      </c>
      <c r="K140" s="94">
        <f>+'POBLACION DEMANDANTE EFECTIVA'!K83</f>
        <v>5</v>
      </c>
      <c r="L140" s="94">
        <f>+'POBLACION DEMANDANTE EFECTIVA'!L83</f>
        <v>5</v>
      </c>
      <c r="M140" s="94">
        <f>+'POBLACION DEMANDANTE EFECTIVA'!M83</f>
        <v>5</v>
      </c>
      <c r="N140" s="94">
        <f>+'POBLACION DEMANDANTE EFECTIVA'!N83</f>
        <v>5</v>
      </c>
      <c r="O140" s="94">
        <f>+'POBLACION DEMANDANTE EFECTIVA'!O83</f>
        <v>5</v>
      </c>
      <c r="P140" s="94">
        <f>+'POBLACION DEMANDANTE EFECTIVA'!P83</f>
        <v>5</v>
      </c>
    </row>
    <row r="141" spans="2:19" x14ac:dyDescent="0.25">
      <c r="C141" s="109" t="s">
        <v>221</v>
      </c>
      <c r="D141" s="94">
        <f>+'POBLACION DEMANDANTE EFECTIVA'!D84*E130</f>
        <v>4</v>
      </c>
      <c r="E141" s="94">
        <f t="shared" ref="E141:P141" si="46">ROUND(($D$141*(1+$A$9)^(E134-$D$134)),0)</f>
        <v>4</v>
      </c>
      <c r="F141" s="94">
        <f t="shared" si="46"/>
        <v>4</v>
      </c>
      <c r="G141" s="94">
        <f t="shared" si="46"/>
        <v>4</v>
      </c>
      <c r="H141" s="94">
        <f t="shared" si="46"/>
        <v>4</v>
      </c>
      <c r="I141" s="94">
        <f t="shared" si="46"/>
        <v>4</v>
      </c>
      <c r="J141" s="94">
        <f t="shared" si="46"/>
        <v>4</v>
      </c>
      <c r="K141" s="94">
        <f t="shared" si="46"/>
        <v>4</v>
      </c>
      <c r="L141" s="94">
        <f t="shared" si="46"/>
        <v>4</v>
      </c>
      <c r="M141" s="94">
        <f t="shared" si="46"/>
        <v>4</v>
      </c>
      <c r="N141" s="94">
        <f t="shared" si="46"/>
        <v>4</v>
      </c>
      <c r="O141" s="94">
        <f t="shared" si="46"/>
        <v>4</v>
      </c>
      <c r="P141" s="94">
        <f t="shared" si="46"/>
        <v>4</v>
      </c>
    </row>
    <row r="142" spans="2:19" x14ac:dyDescent="0.25"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</row>
    <row r="143" spans="2:19" ht="15" customHeight="1" x14ac:dyDescent="0.25">
      <c r="B143" s="130"/>
      <c r="C143" s="275" t="s">
        <v>484</v>
      </c>
      <c r="D143" s="276"/>
      <c r="E143" s="276"/>
      <c r="F143" s="27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30"/>
    </row>
    <row r="144" spans="2:19" ht="76.5" customHeight="1" x14ac:dyDescent="0.25">
      <c r="B144" s="130"/>
      <c r="C144" s="26" t="s">
        <v>30</v>
      </c>
      <c r="D144" s="26" t="s">
        <v>31</v>
      </c>
      <c r="E144" s="249" t="s">
        <v>445</v>
      </c>
      <c r="F144" s="251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30"/>
    </row>
    <row r="145" spans="2:19" x14ac:dyDescent="0.25">
      <c r="B145" s="130"/>
      <c r="C145" s="267" t="s">
        <v>190</v>
      </c>
      <c r="D145" s="109" t="s">
        <v>181</v>
      </c>
      <c r="E145" s="268">
        <v>1</v>
      </c>
      <c r="F145" s="269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30"/>
    </row>
    <row r="146" spans="2:19" x14ac:dyDescent="0.25">
      <c r="B146" s="130"/>
      <c r="C146" s="267"/>
      <c r="D146" s="30" t="s">
        <v>182</v>
      </c>
      <c r="E146" s="270">
        <v>1</v>
      </c>
      <c r="F146" s="271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30"/>
    </row>
    <row r="147" spans="2:19" x14ac:dyDescent="0.25">
      <c r="B147" s="130"/>
      <c r="C147" s="267"/>
      <c r="D147" s="30" t="s">
        <v>183</v>
      </c>
      <c r="E147" s="270">
        <v>1</v>
      </c>
      <c r="F147" s="271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30"/>
    </row>
    <row r="148" spans="2:19" x14ac:dyDescent="0.25">
      <c r="B148" s="130"/>
      <c r="C148" s="267"/>
      <c r="D148" s="30" t="s">
        <v>184</v>
      </c>
      <c r="E148" s="270">
        <v>1</v>
      </c>
      <c r="F148" s="271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30"/>
    </row>
    <row r="149" spans="2:19" x14ac:dyDescent="0.25">
      <c r="B149" s="130"/>
      <c r="C149" s="267"/>
      <c r="D149" s="30" t="s">
        <v>185</v>
      </c>
      <c r="E149" s="270">
        <v>1</v>
      </c>
      <c r="F149" s="271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30"/>
    </row>
    <row r="150" spans="2:19" x14ac:dyDescent="0.25">
      <c r="B150" s="130"/>
      <c r="C150" s="267"/>
      <c r="D150" s="109" t="s">
        <v>186</v>
      </c>
      <c r="E150" s="272">
        <v>1</v>
      </c>
      <c r="F150" s="273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30"/>
    </row>
    <row r="151" spans="2:19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2:19" x14ac:dyDescent="0.25">
      <c r="B152" s="112"/>
      <c r="C152" s="239" t="s">
        <v>24</v>
      </c>
      <c r="D152" s="249" t="s">
        <v>143</v>
      </c>
      <c r="E152" s="250"/>
      <c r="F152" s="251"/>
      <c r="G152" s="255" t="s">
        <v>39</v>
      </c>
      <c r="H152" s="255"/>
      <c r="I152" s="255"/>
      <c r="J152" s="255"/>
      <c r="K152" s="255"/>
      <c r="L152" s="255"/>
      <c r="M152" s="255"/>
      <c r="N152" s="255"/>
      <c r="O152" s="255"/>
      <c r="P152" s="255"/>
      <c r="Q152" s="112"/>
      <c r="R152" s="112"/>
    </row>
    <row r="153" spans="2:19" x14ac:dyDescent="0.25">
      <c r="B153" s="112"/>
      <c r="C153" s="239"/>
      <c r="D153" s="259">
        <v>0</v>
      </c>
      <c r="E153" s="260"/>
      <c r="F153" s="261"/>
      <c r="G153" s="24">
        <v>1</v>
      </c>
      <c r="H153" s="24">
        <v>2</v>
      </c>
      <c r="I153" s="24">
        <v>3</v>
      </c>
      <c r="J153" s="24">
        <v>4</v>
      </c>
      <c r="K153" s="24">
        <v>5</v>
      </c>
      <c r="L153" s="24">
        <v>6</v>
      </c>
      <c r="M153" s="24">
        <v>7</v>
      </c>
      <c r="N153" s="24">
        <v>8</v>
      </c>
      <c r="O153" s="24">
        <v>9</v>
      </c>
      <c r="P153" s="24">
        <v>10</v>
      </c>
      <c r="Q153" s="112"/>
      <c r="R153" s="112"/>
    </row>
    <row r="154" spans="2:19" x14ac:dyDescent="0.25">
      <c r="B154" s="112"/>
      <c r="C154" s="239"/>
      <c r="D154" s="20">
        <v>2024</v>
      </c>
      <c r="E154" s="20">
        <v>2025</v>
      </c>
      <c r="F154" s="20">
        <v>2026</v>
      </c>
      <c r="G154" s="20">
        <v>2027</v>
      </c>
      <c r="H154" s="20">
        <v>2028</v>
      </c>
      <c r="I154" s="20">
        <v>2029</v>
      </c>
      <c r="J154" s="20">
        <v>2030</v>
      </c>
      <c r="K154" s="20">
        <v>2031</v>
      </c>
      <c r="L154" s="20">
        <v>2032</v>
      </c>
      <c r="M154" s="20">
        <v>2033</v>
      </c>
      <c r="N154" s="20">
        <v>2034</v>
      </c>
      <c r="O154" s="20">
        <v>2035</v>
      </c>
      <c r="P154" s="20">
        <v>2036</v>
      </c>
      <c r="Q154" s="112"/>
      <c r="R154" s="112"/>
    </row>
    <row r="155" spans="2:19" x14ac:dyDescent="0.25">
      <c r="B155" s="112"/>
      <c r="C155" s="115" t="s">
        <v>190</v>
      </c>
      <c r="D155" s="97">
        <f>SUM(D156:D161)</f>
        <v>291.20000000000005</v>
      </c>
      <c r="E155" s="97">
        <f>SUM(E156:E161)</f>
        <v>292</v>
      </c>
      <c r="F155" s="97">
        <f>SUM(F156:F161)</f>
        <v>292</v>
      </c>
      <c r="G155" s="97">
        <f t="shared" ref="G155:P155" si="47">SUM(G156:G161)</f>
        <v>292</v>
      </c>
      <c r="H155" s="97">
        <f t="shared" si="47"/>
        <v>292</v>
      </c>
      <c r="I155" s="97">
        <f t="shared" si="47"/>
        <v>292</v>
      </c>
      <c r="J155" s="97">
        <f t="shared" si="47"/>
        <v>292</v>
      </c>
      <c r="K155" s="97">
        <f t="shared" si="47"/>
        <v>292</v>
      </c>
      <c r="L155" s="97">
        <f t="shared" si="47"/>
        <v>292</v>
      </c>
      <c r="M155" s="97">
        <f t="shared" si="47"/>
        <v>292</v>
      </c>
      <c r="N155" s="97">
        <f t="shared" si="47"/>
        <v>292</v>
      </c>
      <c r="O155" s="97">
        <f t="shared" si="47"/>
        <v>292</v>
      </c>
      <c r="P155" s="97">
        <f t="shared" si="47"/>
        <v>292</v>
      </c>
      <c r="Q155" s="112"/>
      <c r="R155" s="112"/>
    </row>
    <row r="156" spans="2:19" x14ac:dyDescent="0.25">
      <c r="B156" s="112"/>
      <c r="C156" s="105" t="s">
        <v>181</v>
      </c>
      <c r="D156" s="96">
        <f>+'POBLACION DEMANDANTE EFECTIVA'!D90*E145</f>
        <v>43.2</v>
      </c>
      <c r="E156" s="96">
        <f>ROUND(($D$156*(1+$A$9)^(E154-$D$154)),0)</f>
        <v>43</v>
      </c>
      <c r="F156" s="96">
        <f t="shared" ref="F156:P156" si="48">ROUND(($D$156*(1+$A$9)^(F154-$D$154)),0)</f>
        <v>43</v>
      </c>
      <c r="G156" s="96">
        <f t="shared" si="48"/>
        <v>43</v>
      </c>
      <c r="H156" s="96">
        <f t="shared" si="48"/>
        <v>43</v>
      </c>
      <c r="I156" s="96">
        <f t="shared" si="48"/>
        <v>43</v>
      </c>
      <c r="J156" s="96">
        <f t="shared" si="48"/>
        <v>43</v>
      </c>
      <c r="K156" s="96">
        <f t="shared" si="48"/>
        <v>43</v>
      </c>
      <c r="L156" s="96">
        <f t="shared" si="48"/>
        <v>43</v>
      </c>
      <c r="M156" s="96">
        <f t="shared" si="48"/>
        <v>43</v>
      </c>
      <c r="N156" s="96">
        <f t="shared" si="48"/>
        <v>43</v>
      </c>
      <c r="O156" s="96">
        <f t="shared" si="48"/>
        <v>43</v>
      </c>
      <c r="P156" s="96">
        <f t="shared" si="48"/>
        <v>43</v>
      </c>
      <c r="Q156" s="112"/>
      <c r="R156" s="112"/>
    </row>
    <row r="157" spans="2:19" x14ac:dyDescent="0.25">
      <c r="B157" s="112"/>
      <c r="C157" s="51" t="s">
        <v>182</v>
      </c>
      <c r="D157" s="96">
        <f>+'POBLACION DEMANDANTE EFECTIVA'!D91*E146</f>
        <v>69.600000000000009</v>
      </c>
      <c r="E157" s="96">
        <f>ROUND(($D$157*(1+$A$9)^(E154-$D$154)),0)</f>
        <v>70</v>
      </c>
      <c r="F157" s="96">
        <f t="shared" ref="F157:P157" si="49">ROUND(($D$157*(1+$A$9)^(F154-$D$154)),0)</f>
        <v>70</v>
      </c>
      <c r="G157" s="96">
        <f t="shared" si="49"/>
        <v>70</v>
      </c>
      <c r="H157" s="96">
        <f t="shared" si="49"/>
        <v>70</v>
      </c>
      <c r="I157" s="96">
        <f t="shared" si="49"/>
        <v>70</v>
      </c>
      <c r="J157" s="96">
        <f t="shared" si="49"/>
        <v>70</v>
      </c>
      <c r="K157" s="96">
        <f t="shared" si="49"/>
        <v>70</v>
      </c>
      <c r="L157" s="96">
        <f t="shared" si="49"/>
        <v>70</v>
      </c>
      <c r="M157" s="96">
        <f t="shared" si="49"/>
        <v>70</v>
      </c>
      <c r="N157" s="96">
        <f t="shared" si="49"/>
        <v>70</v>
      </c>
      <c r="O157" s="96">
        <f t="shared" si="49"/>
        <v>70</v>
      </c>
      <c r="P157" s="96">
        <f t="shared" si="49"/>
        <v>70</v>
      </c>
      <c r="Q157" s="112"/>
      <c r="R157" s="112"/>
    </row>
    <row r="158" spans="2:19" x14ac:dyDescent="0.25">
      <c r="B158" s="112"/>
      <c r="C158" s="51" t="s">
        <v>183</v>
      </c>
      <c r="D158" s="96">
        <f>+'POBLACION DEMANDANTE EFECTIVA'!D92*E147</f>
        <v>52.800000000000004</v>
      </c>
      <c r="E158" s="96">
        <f>ROUND(($D$158*(1+$A$9)^(E154-$D$154)),0)</f>
        <v>53</v>
      </c>
      <c r="F158" s="96">
        <f t="shared" ref="F158:P158" si="50">ROUND(($D$158*(1+$A$9)^(F154-$D$154)),0)</f>
        <v>53</v>
      </c>
      <c r="G158" s="96">
        <f t="shared" si="50"/>
        <v>53</v>
      </c>
      <c r="H158" s="96">
        <f t="shared" si="50"/>
        <v>53</v>
      </c>
      <c r="I158" s="96">
        <f t="shared" si="50"/>
        <v>53</v>
      </c>
      <c r="J158" s="96">
        <f t="shared" si="50"/>
        <v>53</v>
      </c>
      <c r="K158" s="96">
        <f t="shared" si="50"/>
        <v>53</v>
      </c>
      <c r="L158" s="96">
        <f t="shared" si="50"/>
        <v>53</v>
      </c>
      <c r="M158" s="96">
        <f t="shared" si="50"/>
        <v>53</v>
      </c>
      <c r="N158" s="96">
        <f t="shared" si="50"/>
        <v>53</v>
      </c>
      <c r="O158" s="96">
        <f t="shared" si="50"/>
        <v>53</v>
      </c>
      <c r="P158" s="96">
        <f t="shared" si="50"/>
        <v>53</v>
      </c>
      <c r="Q158" s="112"/>
      <c r="R158" s="112"/>
    </row>
    <row r="159" spans="2:19" x14ac:dyDescent="0.25">
      <c r="B159" s="112"/>
      <c r="C159" s="51" t="s">
        <v>184</v>
      </c>
      <c r="D159" s="96">
        <f>+'POBLACION DEMANDANTE EFECTIVA'!D93*E148</f>
        <v>43.2</v>
      </c>
      <c r="E159" s="96">
        <f>ROUND(($D$159*(1+$A$9)^(E154-$D$154)),0)</f>
        <v>43</v>
      </c>
      <c r="F159" s="96">
        <f t="shared" ref="F159:P159" si="51">ROUND(($D$159*(1+$A$9)^(F154-$D$154)),0)</f>
        <v>43</v>
      </c>
      <c r="G159" s="96">
        <f t="shared" si="51"/>
        <v>43</v>
      </c>
      <c r="H159" s="96">
        <f t="shared" si="51"/>
        <v>43</v>
      </c>
      <c r="I159" s="96">
        <f t="shared" si="51"/>
        <v>43</v>
      </c>
      <c r="J159" s="96">
        <f t="shared" si="51"/>
        <v>43</v>
      </c>
      <c r="K159" s="96">
        <f t="shared" si="51"/>
        <v>43</v>
      </c>
      <c r="L159" s="96">
        <f t="shared" si="51"/>
        <v>43</v>
      </c>
      <c r="M159" s="96">
        <f t="shared" si="51"/>
        <v>43</v>
      </c>
      <c r="N159" s="96">
        <f t="shared" si="51"/>
        <v>43</v>
      </c>
      <c r="O159" s="96">
        <f t="shared" si="51"/>
        <v>43</v>
      </c>
      <c r="P159" s="96">
        <f t="shared" si="51"/>
        <v>43</v>
      </c>
      <c r="Q159" s="112"/>
      <c r="R159" s="112"/>
    </row>
    <row r="160" spans="2:19" x14ac:dyDescent="0.25">
      <c r="B160" s="112"/>
      <c r="C160" s="51" t="s">
        <v>185</v>
      </c>
      <c r="D160" s="96">
        <f>+'POBLACION DEMANDANTE EFECTIVA'!D94*E149</f>
        <v>36.800000000000004</v>
      </c>
      <c r="E160" s="96">
        <f>ROUND(($D$160*(1+$A$9)^(E154-$D$154)),0)</f>
        <v>37</v>
      </c>
      <c r="F160" s="96">
        <f t="shared" ref="F160:P160" si="52">ROUND(($D$160*(1+$A$9)^(F154-$D$154)),0)</f>
        <v>37</v>
      </c>
      <c r="G160" s="96">
        <f t="shared" si="52"/>
        <v>37</v>
      </c>
      <c r="H160" s="96">
        <f t="shared" si="52"/>
        <v>37</v>
      </c>
      <c r="I160" s="96">
        <f t="shared" si="52"/>
        <v>37</v>
      </c>
      <c r="J160" s="96">
        <f t="shared" si="52"/>
        <v>37</v>
      </c>
      <c r="K160" s="96">
        <f t="shared" si="52"/>
        <v>37</v>
      </c>
      <c r="L160" s="96">
        <f t="shared" si="52"/>
        <v>37</v>
      </c>
      <c r="M160" s="96">
        <f t="shared" si="52"/>
        <v>37</v>
      </c>
      <c r="N160" s="96">
        <f t="shared" si="52"/>
        <v>37</v>
      </c>
      <c r="O160" s="96">
        <f t="shared" si="52"/>
        <v>37</v>
      </c>
      <c r="P160" s="96">
        <f t="shared" si="52"/>
        <v>37</v>
      </c>
      <c r="Q160" s="112"/>
      <c r="R160" s="112"/>
    </row>
    <row r="161" spans="2:18" x14ac:dyDescent="0.25">
      <c r="B161" s="112"/>
      <c r="C161" s="109" t="s">
        <v>186</v>
      </c>
      <c r="D161" s="96">
        <f>+'POBLACION DEMANDANTE EFECTIVA'!D95*E150</f>
        <v>45.6</v>
      </c>
      <c r="E161" s="96">
        <f>ROUND(($D$161*(1+$A$9)^(E154-$D$154)),0)</f>
        <v>46</v>
      </c>
      <c r="F161" s="96">
        <f t="shared" ref="F161:P161" si="53">ROUND(($D$161*(1+$A$9)^(F154-$D$154)),0)</f>
        <v>46</v>
      </c>
      <c r="G161" s="96">
        <f t="shared" si="53"/>
        <v>46</v>
      </c>
      <c r="H161" s="96">
        <f t="shared" si="53"/>
        <v>46</v>
      </c>
      <c r="I161" s="96">
        <f t="shared" si="53"/>
        <v>46</v>
      </c>
      <c r="J161" s="96">
        <f t="shared" si="53"/>
        <v>46</v>
      </c>
      <c r="K161" s="96">
        <f t="shared" si="53"/>
        <v>46</v>
      </c>
      <c r="L161" s="96">
        <f t="shared" si="53"/>
        <v>46</v>
      </c>
      <c r="M161" s="96">
        <f t="shared" si="53"/>
        <v>46</v>
      </c>
      <c r="N161" s="96">
        <f t="shared" si="53"/>
        <v>46</v>
      </c>
      <c r="O161" s="96">
        <f t="shared" si="53"/>
        <v>46</v>
      </c>
      <c r="P161" s="96">
        <f t="shared" si="53"/>
        <v>46</v>
      </c>
      <c r="Q161" s="112"/>
      <c r="R161" s="112"/>
    </row>
    <row r="163" spans="2:18" ht="26.25" customHeight="1" x14ac:dyDescent="0.25">
      <c r="B163" s="130"/>
      <c r="C163" s="267" t="s">
        <v>209</v>
      </c>
      <c r="D163" s="267"/>
      <c r="E163" s="267"/>
      <c r="F163" s="26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30"/>
    </row>
    <row r="164" spans="2:18" ht="76.5" customHeight="1" x14ac:dyDescent="0.25">
      <c r="B164" s="130"/>
      <c r="C164" s="20" t="s">
        <v>212</v>
      </c>
      <c r="D164" s="20" t="s">
        <v>31</v>
      </c>
      <c r="E164" s="235" t="s">
        <v>445</v>
      </c>
      <c r="F164" s="236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30"/>
    </row>
    <row r="165" spans="2:18" x14ac:dyDescent="0.25">
      <c r="B165" s="130"/>
      <c r="C165" s="267" t="s">
        <v>217</v>
      </c>
      <c r="D165" s="51" t="s">
        <v>181</v>
      </c>
      <c r="E165" s="268">
        <v>1</v>
      </c>
      <c r="F165" s="269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30"/>
    </row>
    <row r="166" spans="2:18" x14ac:dyDescent="0.25">
      <c r="B166" s="130"/>
      <c r="C166" s="267"/>
      <c r="D166" s="51" t="s">
        <v>182</v>
      </c>
      <c r="E166" s="270">
        <v>1</v>
      </c>
      <c r="F166" s="271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30"/>
    </row>
    <row r="167" spans="2:18" x14ac:dyDescent="0.25">
      <c r="B167" s="130"/>
      <c r="C167" s="267"/>
      <c r="D167" s="51" t="s">
        <v>183</v>
      </c>
      <c r="E167" s="270">
        <v>1</v>
      </c>
      <c r="F167" s="271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30"/>
    </row>
    <row r="168" spans="2:18" x14ac:dyDescent="0.25">
      <c r="B168" s="130"/>
      <c r="C168" s="267"/>
      <c r="D168" s="51" t="s">
        <v>184</v>
      </c>
      <c r="E168" s="270">
        <v>1</v>
      </c>
      <c r="F168" s="271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30"/>
    </row>
    <row r="169" spans="2:18" x14ac:dyDescent="0.25">
      <c r="B169" s="130"/>
      <c r="C169" s="267"/>
      <c r="D169" s="51" t="s">
        <v>185</v>
      </c>
      <c r="E169" s="270">
        <v>1</v>
      </c>
      <c r="F169" s="271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30"/>
    </row>
    <row r="170" spans="2:18" x14ac:dyDescent="0.25">
      <c r="B170" s="130"/>
      <c r="C170" s="267"/>
      <c r="D170" s="51" t="s">
        <v>186</v>
      </c>
      <c r="E170" s="272">
        <v>1</v>
      </c>
      <c r="F170" s="273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30"/>
    </row>
    <row r="172" spans="2:18" x14ac:dyDescent="0.25">
      <c r="C172" s="252" t="s">
        <v>38</v>
      </c>
      <c r="D172" s="249" t="s">
        <v>143</v>
      </c>
      <c r="E172" s="250"/>
      <c r="F172" s="251"/>
      <c r="G172" s="255" t="s">
        <v>39</v>
      </c>
      <c r="H172" s="255"/>
      <c r="I172" s="255"/>
      <c r="J172" s="255"/>
      <c r="K172" s="255"/>
      <c r="L172" s="255"/>
      <c r="M172" s="255"/>
      <c r="N172" s="255"/>
      <c r="O172" s="255"/>
      <c r="P172" s="255"/>
    </row>
    <row r="173" spans="2:18" x14ac:dyDescent="0.25">
      <c r="C173" s="253"/>
      <c r="D173" s="239">
        <v>0</v>
      </c>
      <c r="E173" s="239"/>
      <c r="F173" s="239"/>
      <c r="G173" s="24">
        <v>1</v>
      </c>
      <c r="H173" s="25">
        <v>2</v>
      </c>
      <c r="I173" s="25">
        <v>3</v>
      </c>
      <c r="J173" s="25">
        <v>4</v>
      </c>
      <c r="K173" s="25">
        <v>5</v>
      </c>
      <c r="L173" s="25">
        <v>6</v>
      </c>
      <c r="M173" s="25">
        <v>7</v>
      </c>
      <c r="N173" s="25">
        <v>8</v>
      </c>
      <c r="O173" s="25">
        <v>9</v>
      </c>
      <c r="P173" s="24">
        <v>10</v>
      </c>
    </row>
    <row r="174" spans="2:18" x14ac:dyDescent="0.25">
      <c r="C174" s="254"/>
      <c r="D174" s="95">
        <f t="shared" ref="D174:P174" si="54">+D134</f>
        <v>2024</v>
      </c>
      <c r="E174" s="95">
        <f t="shared" si="54"/>
        <v>2025</v>
      </c>
      <c r="F174" s="95">
        <f t="shared" si="54"/>
        <v>2026</v>
      </c>
      <c r="G174" s="95">
        <f t="shared" si="54"/>
        <v>2027</v>
      </c>
      <c r="H174" s="95">
        <f t="shared" si="54"/>
        <v>2028</v>
      </c>
      <c r="I174" s="95">
        <f t="shared" si="54"/>
        <v>2029</v>
      </c>
      <c r="J174" s="95">
        <f t="shared" si="54"/>
        <v>2030</v>
      </c>
      <c r="K174" s="95">
        <f t="shared" si="54"/>
        <v>2031</v>
      </c>
      <c r="L174" s="95">
        <f t="shared" si="54"/>
        <v>2032</v>
      </c>
      <c r="M174" s="95">
        <f t="shared" si="54"/>
        <v>2033</v>
      </c>
      <c r="N174" s="95">
        <f t="shared" si="54"/>
        <v>2034</v>
      </c>
      <c r="O174" s="95">
        <f t="shared" si="54"/>
        <v>2035</v>
      </c>
      <c r="P174" s="95">
        <f t="shared" si="54"/>
        <v>2036</v>
      </c>
    </row>
    <row r="175" spans="2:18" ht="38.25" x14ac:dyDescent="0.25">
      <c r="C175" s="28" t="s">
        <v>387</v>
      </c>
      <c r="D175" s="98">
        <f>+SUM(D176:D181)</f>
        <v>291.20000000000005</v>
      </c>
      <c r="E175" s="98">
        <f>+SUM(E176:E181)</f>
        <v>292</v>
      </c>
      <c r="F175" s="98">
        <f t="shared" ref="F175:P175" si="55">+SUM(F176:F181)</f>
        <v>292</v>
      </c>
      <c r="G175" s="106">
        <f t="shared" si="55"/>
        <v>292</v>
      </c>
      <c r="H175" s="106">
        <f t="shared" si="55"/>
        <v>292</v>
      </c>
      <c r="I175" s="106">
        <f t="shared" si="55"/>
        <v>292</v>
      </c>
      <c r="J175" s="106">
        <f t="shared" si="55"/>
        <v>292</v>
      </c>
      <c r="K175" s="106">
        <f t="shared" si="55"/>
        <v>292</v>
      </c>
      <c r="L175" s="106">
        <f t="shared" si="55"/>
        <v>292</v>
      </c>
      <c r="M175" s="106">
        <f t="shared" si="55"/>
        <v>292</v>
      </c>
      <c r="N175" s="106">
        <f t="shared" si="55"/>
        <v>292</v>
      </c>
      <c r="O175" s="106">
        <f t="shared" si="55"/>
        <v>292</v>
      </c>
      <c r="P175" s="106">
        <f t="shared" si="55"/>
        <v>292</v>
      </c>
    </row>
    <row r="176" spans="2:18" x14ac:dyDescent="0.25">
      <c r="C176" s="105" t="s">
        <v>181</v>
      </c>
      <c r="D176" s="94">
        <f>+'POBLACION DEMANDANTE EFECTIVA'!D101*E165</f>
        <v>43.2</v>
      </c>
      <c r="E176" s="94">
        <f>ROUND(($D$176*(1+$A$9)^(E174-$D$174)),0)</f>
        <v>43</v>
      </c>
      <c r="F176" s="94">
        <f t="shared" ref="F176:P176" si="56">ROUND(($D$176*(1+$A$9)^(F174-$D$174)),0)</f>
        <v>43</v>
      </c>
      <c r="G176" s="94">
        <f t="shared" si="56"/>
        <v>43</v>
      </c>
      <c r="H176" s="94">
        <f t="shared" si="56"/>
        <v>43</v>
      </c>
      <c r="I176" s="94">
        <f t="shared" si="56"/>
        <v>43</v>
      </c>
      <c r="J176" s="94">
        <f t="shared" si="56"/>
        <v>43</v>
      </c>
      <c r="K176" s="94">
        <f t="shared" si="56"/>
        <v>43</v>
      </c>
      <c r="L176" s="94">
        <f t="shared" si="56"/>
        <v>43</v>
      </c>
      <c r="M176" s="94">
        <f t="shared" si="56"/>
        <v>43</v>
      </c>
      <c r="N176" s="94">
        <f t="shared" si="56"/>
        <v>43</v>
      </c>
      <c r="O176" s="94">
        <f t="shared" si="56"/>
        <v>43</v>
      </c>
      <c r="P176" s="94">
        <f t="shared" si="56"/>
        <v>43</v>
      </c>
    </row>
    <row r="177" spans="2:18" x14ac:dyDescent="0.25">
      <c r="C177" s="51" t="s">
        <v>182</v>
      </c>
      <c r="D177" s="94">
        <f>+'POBLACION DEMANDANTE EFECTIVA'!D102*E166</f>
        <v>69.600000000000009</v>
      </c>
      <c r="E177" s="94">
        <f>ROUND(($D$177*(1+$A$9)^(E174-$D$174)),0)</f>
        <v>70</v>
      </c>
      <c r="F177" s="94">
        <f t="shared" ref="F177:P177" si="57">ROUND(($D$177*(1+$A$9)^(F174-$D$174)),0)</f>
        <v>70</v>
      </c>
      <c r="G177" s="94">
        <f t="shared" si="57"/>
        <v>70</v>
      </c>
      <c r="H177" s="94">
        <f t="shared" si="57"/>
        <v>70</v>
      </c>
      <c r="I177" s="94">
        <f t="shared" si="57"/>
        <v>70</v>
      </c>
      <c r="J177" s="94">
        <f t="shared" si="57"/>
        <v>70</v>
      </c>
      <c r="K177" s="94">
        <f t="shared" si="57"/>
        <v>70</v>
      </c>
      <c r="L177" s="94">
        <f t="shared" si="57"/>
        <v>70</v>
      </c>
      <c r="M177" s="94">
        <f t="shared" si="57"/>
        <v>70</v>
      </c>
      <c r="N177" s="94">
        <f t="shared" si="57"/>
        <v>70</v>
      </c>
      <c r="O177" s="94">
        <f t="shared" si="57"/>
        <v>70</v>
      </c>
      <c r="P177" s="94">
        <f t="shared" si="57"/>
        <v>70</v>
      </c>
    </row>
    <row r="178" spans="2:18" x14ac:dyDescent="0.25">
      <c r="C178" s="51" t="s">
        <v>183</v>
      </c>
      <c r="D178" s="94">
        <f>+'POBLACION DEMANDANTE EFECTIVA'!D103*E167</f>
        <v>52.800000000000004</v>
      </c>
      <c r="E178" s="94">
        <f>ROUND(($D$178*(1+$A$9)^(E174-$D$174)),0)</f>
        <v>53</v>
      </c>
      <c r="F178" s="94">
        <f t="shared" ref="F178:P178" si="58">ROUND(($D$178*(1+$A$9)^(F174-$D$174)),0)</f>
        <v>53</v>
      </c>
      <c r="G178" s="94">
        <f t="shared" si="58"/>
        <v>53</v>
      </c>
      <c r="H178" s="94">
        <f t="shared" si="58"/>
        <v>53</v>
      </c>
      <c r="I178" s="94">
        <f t="shared" si="58"/>
        <v>53</v>
      </c>
      <c r="J178" s="94">
        <f t="shared" si="58"/>
        <v>53</v>
      </c>
      <c r="K178" s="94">
        <f t="shared" si="58"/>
        <v>53</v>
      </c>
      <c r="L178" s="94">
        <f t="shared" si="58"/>
        <v>53</v>
      </c>
      <c r="M178" s="94">
        <f t="shared" si="58"/>
        <v>53</v>
      </c>
      <c r="N178" s="94">
        <f t="shared" si="58"/>
        <v>53</v>
      </c>
      <c r="O178" s="94">
        <f t="shared" si="58"/>
        <v>53</v>
      </c>
      <c r="P178" s="94">
        <f t="shared" si="58"/>
        <v>53</v>
      </c>
    </row>
    <row r="179" spans="2:18" x14ac:dyDescent="0.25">
      <c r="C179" s="51" t="s">
        <v>184</v>
      </c>
      <c r="D179" s="94">
        <f>+'POBLACION DEMANDANTE EFECTIVA'!D104*E168</f>
        <v>43.2</v>
      </c>
      <c r="E179" s="94">
        <f>ROUND(($D$179*(1+$A$9)^(E174-$D$174)),0)</f>
        <v>43</v>
      </c>
      <c r="F179" s="94">
        <f t="shared" ref="F179:P179" si="59">ROUND(($D$179*(1+$A$9)^(F174-$D$174)),0)</f>
        <v>43</v>
      </c>
      <c r="G179" s="94">
        <f t="shared" si="59"/>
        <v>43</v>
      </c>
      <c r="H179" s="94">
        <f t="shared" si="59"/>
        <v>43</v>
      </c>
      <c r="I179" s="94">
        <f t="shared" si="59"/>
        <v>43</v>
      </c>
      <c r="J179" s="94">
        <f t="shared" si="59"/>
        <v>43</v>
      </c>
      <c r="K179" s="94">
        <f t="shared" si="59"/>
        <v>43</v>
      </c>
      <c r="L179" s="94">
        <f t="shared" si="59"/>
        <v>43</v>
      </c>
      <c r="M179" s="94">
        <f t="shared" si="59"/>
        <v>43</v>
      </c>
      <c r="N179" s="94">
        <f t="shared" si="59"/>
        <v>43</v>
      </c>
      <c r="O179" s="94">
        <f t="shared" si="59"/>
        <v>43</v>
      </c>
      <c r="P179" s="94">
        <f t="shared" si="59"/>
        <v>43</v>
      </c>
    </row>
    <row r="180" spans="2:18" x14ac:dyDescent="0.25">
      <c r="C180" s="51" t="s">
        <v>185</v>
      </c>
      <c r="D180" s="94">
        <f>+'POBLACION DEMANDANTE EFECTIVA'!D105*E169</f>
        <v>36.800000000000004</v>
      </c>
      <c r="E180" s="94">
        <f>ROUND(($D$180*(1+$A$9)^(E174-$D$174)),0)</f>
        <v>37</v>
      </c>
      <c r="F180" s="94">
        <f t="shared" ref="F180:P180" si="60">ROUND(($D$180*(1+$A$9)^(F174-$D$174)),0)</f>
        <v>37</v>
      </c>
      <c r="G180" s="94">
        <f t="shared" si="60"/>
        <v>37</v>
      </c>
      <c r="H180" s="94">
        <f t="shared" si="60"/>
        <v>37</v>
      </c>
      <c r="I180" s="94">
        <f t="shared" si="60"/>
        <v>37</v>
      </c>
      <c r="J180" s="94">
        <f t="shared" si="60"/>
        <v>37</v>
      </c>
      <c r="K180" s="94">
        <f t="shared" si="60"/>
        <v>37</v>
      </c>
      <c r="L180" s="94">
        <f t="shared" si="60"/>
        <v>37</v>
      </c>
      <c r="M180" s="94">
        <f t="shared" si="60"/>
        <v>37</v>
      </c>
      <c r="N180" s="94">
        <f t="shared" si="60"/>
        <v>37</v>
      </c>
      <c r="O180" s="94">
        <f t="shared" si="60"/>
        <v>37</v>
      </c>
      <c r="P180" s="94">
        <f t="shared" si="60"/>
        <v>37</v>
      </c>
    </row>
    <row r="181" spans="2:18" x14ac:dyDescent="0.25">
      <c r="C181" s="109" t="s">
        <v>186</v>
      </c>
      <c r="D181" s="94">
        <f>+'POBLACION DEMANDANTE EFECTIVA'!D106*E170</f>
        <v>45.6</v>
      </c>
      <c r="E181" s="94">
        <f>ROUND(($D$181*(1+$A$9)^(E174-$D$174)),0)</f>
        <v>46</v>
      </c>
      <c r="F181" s="94">
        <f t="shared" ref="F181:P181" si="61">ROUND(($D$181*(1+$A$9)^(F174-$D$174)),0)</f>
        <v>46</v>
      </c>
      <c r="G181" s="94">
        <f t="shared" si="61"/>
        <v>46</v>
      </c>
      <c r="H181" s="94">
        <f t="shared" si="61"/>
        <v>46</v>
      </c>
      <c r="I181" s="94">
        <f t="shared" si="61"/>
        <v>46</v>
      </c>
      <c r="J181" s="94">
        <f t="shared" si="61"/>
        <v>46</v>
      </c>
      <c r="K181" s="94">
        <f t="shared" si="61"/>
        <v>46</v>
      </c>
      <c r="L181" s="94">
        <f t="shared" si="61"/>
        <v>46</v>
      </c>
      <c r="M181" s="94">
        <f t="shared" si="61"/>
        <v>46</v>
      </c>
      <c r="N181" s="94">
        <f t="shared" si="61"/>
        <v>46</v>
      </c>
      <c r="O181" s="94">
        <f t="shared" si="61"/>
        <v>46</v>
      </c>
      <c r="P181" s="94">
        <f t="shared" si="61"/>
        <v>46</v>
      </c>
    </row>
    <row r="182" spans="2:18" x14ac:dyDescent="0.25">
      <c r="B182" s="256"/>
      <c r="C182" s="256"/>
      <c r="D182" s="256"/>
      <c r="E182" s="256"/>
      <c r="F182" s="256"/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</row>
    <row r="183" spans="2:18" ht="15" customHeight="1" x14ac:dyDescent="0.25">
      <c r="B183" s="131"/>
      <c r="C183" s="267" t="s">
        <v>433</v>
      </c>
      <c r="D183" s="267"/>
      <c r="E183" s="267"/>
      <c r="F183" s="26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31"/>
    </row>
    <row r="184" spans="2:18" ht="76.5" customHeight="1" x14ac:dyDescent="0.25">
      <c r="B184" s="130"/>
      <c r="C184" s="26" t="s">
        <v>30</v>
      </c>
      <c r="D184" s="26" t="s">
        <v>31</v>
      </c>
      <c r="E184" s="239" t="s">
        <v>40</v>
      </c>
      <c r="F184" s="239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30"/>
    </row>
    <row r="185" spans="2:18" x14ac:dyDescent="0.25">
      <c r="B185" s="130"/>
      <c r="C185" s="28" t="s">
        <v>62</v>
      </c>
      <c r="D185" s="109" t="s">
        <v>195</v>
      </c>
      <c r="E185" s="274">
        <v>6</v>
      </c>
      <c r="F185" s="274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30"/>
    </row>
    <row r="186" spans="2:18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2:18" x14ac:dyDescent="0.25">
      <c r="B187" s="112"/>
      <c r="C187" s="239" t="s">
        <v>24</v>
      </c>
      <c r="D187" s="249" t="s">
        <v>143</v>
      </c>
      <c r="E187" s="250"/>
      <c r="F187" s="251"/>
      <c r="G187" s="255" t="s">
        <v>39</v>
      </c>
      <c r="H187" s="255"/>
      <c r="I187" s="255"/>
      <c r="J187" s="255"/>
      <c r="K187" s="255"/>
      <c r="L187" s="255"/>
      <c r="M187" s="255"/>
      <c r="N187" s="255"/>
      <c r="O187" s="255"/>
      <c r="P187" s="255"/>
      <c r="Q187" s="112"/>
      <c r="R187" s="112"/>
    </row>
    <row r="188" spans="2:18" x14ac:dyDescent="0.25">
      <c r="B188" s="112"/>
      <c r="C188" s="239"/>
      <c r="D188" s="259">
        <v>0</v>
      </c>
      <c r="E188" s="260"/>
      <c r="F188" s="261"/>
      <c r="G188" s="24">
        <v>1</v>
      </c>
      <c r="H188" s="24">
        <v>2</v>
      </c>
      <c r="I188" s="24">
        <v>3</v>
      </c>
      <c r="J188" s="24">
        <v>4</v>
      </c>
      <c r="K188" s="24">
        <v>5</v>
      </c>
      <c r="L188" s="24">
        <v>6</v>
      </c>
      <c r="M188" s="24">
        <v>7</v>
      </c>
      <c r="N188" s="24">
        <v>8</v>
      </c>
      <c r="O188" s="24">
        <v>9</v>
      </c>
      <c r="P188" s="24">
        <v>10</v>
      </c>
      <c r="Q188" s="112"/>
      <c r="R188" s="112"/>
    </row>
    <row r="189" spans="2:18" x14ac:dyDescent="0.25">
      <c r="B189" s="112"/>
      <c r="C189" s="239"/>
      <c r="D189" s="20">
        <v>2024</v>
      </c>
      <c r="E189" s="20">
        <v>2025</v>
      </c>
      <c r="F189" s="20">
        <v>2026</v>
      </c>
      <c r="G189" s="20">
        <v>2027</v>
      </c>
      <c r="H189" s="20">
        <v>2028</v>
      </c>
      <c r="I189" s="20">
        <v>2029</v>
      </c>
      <c r="J189" s="20">
        <v>2030</v>
      </c>
      <c r="K189" s="20">
        <v>2031</v>
      </c>
      <c r="L189" s="20">
        <v>2032</v>
      </c>
      <c r="M189" s="20">
        <v>2033</v>
      </c>
      <c r="N189" s="20">
        <v>2034</v>
      </c>
      <c r="O189" s="20">
        <v>2035</v>
      </c>
      <c r="P189" s="20">
        <v>2036</v>
      </c>
      <c r="Q189" s="112"/>
      <c r="R189" s="112"/>
    </row>
    <row r="190" spans="2:18" x14ac:dyDescent="0.25">
      <c r="B190" s="112"/>
      <c r="C190" s="115" t="s">
        <v>191</v>
      </c>
      <c r="D190" s="97">
        <f>SUM(D191:D191)</f>
        <v>86.4</v>
      </c>
      <c r="E190" s="97">
        <f t="shared" ref="E190:P190" si="62">SUM(E191:E191)</f>
        <v>86</v>
      </c>
      <c r="F190" s="97">
        <f t="shared" si="62"/>
        <v>86</v>
      </c>
      <c r="G190" s="97">
        <f t="shared" si="62"/>
        <v>86</v>
      </c>
      <c r="H190" s="97">
        <f t="shared" si="62"/>
        <v>87</v>
      </c>
      <c r="I190" s="97">
        <f t="shared" si="62"/>
        <v>87</v>
      </c>
      <c r="J190" s="97">
        <f t="shared" si="62"/>
        <v>87</v>
      </c>
      <c r="K190" s="97">
        <f t="shared" si="62"/>
        <v>87</v>
      </c>
      <c r="L190" s="97">
        <f t="shared" si="62"/>
        <v>87</v>
      </c>
      <c r="M190" s="97">
        <f t="shared" si="62"/>
        <v>87</v>
      </c>
      <c r="N190" s="97">
        <f t="shared" si="62"/>
        <v>87</v>
      </c>
      <c r="O190" s="97">
        <f t="shared" si="62"/>
        <v>87</v>
      </c>
      <c r="P190" s="97">
        <f t="shared" si="62"/>
        <v>87</v>
      </c>
      <c r="Q190" s="112"/>
      <c r="R190" s="112"/>
    </row>
    <row r="191" spans="2:18" x14ac:dyDescent="0.25">
      <c r="B191" s="112"/>
      <c r="C191" s="105" t="s">
        <v>33</v>
      </c>
      <c r="D191" s="96">
        <f>+'POBLACION DEMANDANTE EFECTIVA'!D112*E185</f>
        <v>86.4</v>
      </c>
      <c r="E191" s="96">
        <f t="shared" ref="E191:P191" si="63">ROUND(($D$191*(1+$A$9)^(E189-$D$189)),0)</f>
        <v>86</v>
      </c>
      <c r="F191" s="96">
        <f t="shared" si="63"/>
        <v>86</v>
      </c>
      <c r="G191" s="96">
        <f t="shared" si="63"/>
        <v>86</v>
      </c>
      <c r="H191" s="96">
        <f t="shared" si="63"/>
        <v>87</v>
      </c>
      <c r="I191" s="96">
        <f t="shared" si="63"/>
        <v>87</v>
      </c>
      <c r="J191" s="96">
        <f t="shared" si="63"/>
        <v>87</v>
      </c>
      <c r="K191" s="96">
        <f t="shared" si="63"/>
        <v>87</v>
      </c>
      <c r="L191" s="96">
        <f t="shared" si="63"/>
        <v>87</v>
      </c>
      <c r="M191" s="96">
        <f t="shared" si="63"/>
        <v>87</v>
      </c>
      <c r="N191" s="96">
        <f t="shared" si="63"/>
        <v>87</v>
      </c>
      <c r="O191" s="96">
        <f t="shared" si="63"/>
        <v>87</v>
      </c>
      <c r="P191" s="96">
        <f t="shared" si="63"/>
        <v>87</v>
      </c>
      <c r="Q191" s="112"/>
      <c r="R191" s="112"/>
    </row>
    <row r="192" spans="2:18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2:17" ht="26.25" customHeight="1" x14ac:dyDescent="0.25">
      <c r="B193" s="130"/>
      <c r="C193" s="267" t="s">
        <v>209</v>
      </c>
      <c r="D193" s="267"/>
      <c r="E193" s="267"/>
      <c r="F193" s="267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</row>
    <row r="194" spans="2:17" ht="76.5" customHeight="1" x14ac:dyDescent="0.25">
      <c r="B194" s="130"/>
      <c r="C194" s="20" t="s">
        <v>212</v>
      </c>
      <c r="D194" s="20" t="s">
        <v>31</v>
      </c>
      <c r="E194" s="239" t="s">
        <v>447</v>
      </c>
      <c r="F194" s="239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</row>
    <row r="195" spans="2:17" x14ac:dyDescent="0.25">
      <c r="B195" s="130"/>
      <c r="C195" s="281" t="s">
        <v>211</v>
      </c>
      <c r="D195" s="105" t="s">
        <v>206</v>
      </c>
      <c r="E195" s="268">
        <v>2</v>
      </c>
      <c r="F195" s="269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</row>
    <row r="196" spans="2:17" x14ac:dyDescent="0.25">
      <c r="B196" s="130"/>
      <c r="C196" s="282"/>
      <c r="D196" s="105" t="s">
        <v>207</v>
      </c>
      <c r="E196" s="272">
        <v>2</v>
      </c>
      <c r="F196" s="273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</row>
    <row r="197" spans="2:17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2:17" x14ac:dyDescent="0.25">
      <c r="C198" s="239" t="s">
        <v>24</v>
      </c>
      <c r="D198" s="249" t="s">
        <v>143</v>
      </c>
      <c r="E198" s="250"/>
      <c r="F198" s="251"/>
      <c r="G198" s="255" t="s">
        <v>39</v>
      </c>
      <c r="H198" s="255"/>
      <c r="I198" s="255"/>
      <c r="J198" s="255"/>
      <c r="K198" s="255"/>
      <c r="L198" s="255"/>
      <c r="M198" s="255"/>
      <c r="N198" s="255"/>
      <c r="O198" s="255"/>
      <c r="P198" s="255"/>
    </row>
    <row r="199" spans="2:17" x14ac:dyDescent="0.25">
      <c r="C199" s="239"/>
      <c r="D199" s="259">
        <v>0</v>
      </c>
      <c r="E199" s="260"/>
      <c r="F199" s="261"/>
      <c r="G199" s="24">
        <v>1</v>
      </c>
      <c r="H199" s="24">
        <v>2</v>
      </c>
      <c r="I199" s="24">
        <v>3</v>
      </c>
      <c r="J199" s="24">
        <v>4</v>
      </c>
      <c r="K199" s="24">
        <v>5</v>
      </c>
      <c r="L199" s="24">
        <v>6</v>
      </c>
      <c r="M199" s="24">
        <v>7</v>
      </c>
      <c r="N199" s="24">
        <v>8</v>
      </c>
      <c r="O199" s="24">
        <v>9</v>
      </c>
      <c r="P199" s="24">
        <v>10</v>
      </c>
    </row>
    <row r="200" spans="2:17" x14ac:dyDescent="0.25">
      <c r="C200" s="239"/>
      <c r="D200" s="20">
        <v>2024</v>
      </c>
      <c r="E200" s="20">
        <v>2025</v>
      </c>
      <c r="F200" s="20">
        <v>2026</v>
      </c>
      <c r="G200" s="20">
        <v>2027</v>
      </c>
      <c r="H200" s="20">
        <v>2028</v>
      </c>
      <c r="I200" s="20">
        <v>2029</v>
      </c>
      <c r="J200" s="20">
        <v>2030</v>
      </c>
      <c r="K200" s="20">
        <v>2031</v>
      </c>
      <c r="L200" s="20">
        <v>2032</v>
      </c>
      <c r="M200" s="20">
        <v>2033</v>
      </c>
      <c r="N200" s="20">
        <v>2034</v>
      </c>
      <c r="O200" s="20">
        <v>2035</v>
      </c>
      <c r="P200" s="20">
        <v>2036</v>
      </c>
    </row>
    <row r="201" spans="2:17" ht="26.25" x14ac:dyDescent="0.25">
      <c r="C201" s="115" t="s">
        <v>208</v>
      </c>
      <c r="D201" s="97">
        <f>SUM(D202:D203)</f>
        <v>403.20000000000005</v>
      </c>
      <c r="E201" s="97">
        <f t="shared" ref="E201:P201" si="64">SUM(E202:E203)</f>
        <v>403</v>
      </c>
      <c r="F201" s="97">
        <f t="shared" si="64"/>
        <v>403</v>
      </c>
      <c r="G201" s="97">
        <f t="shared" si="64"/>
        <v>403</v>
      </c>
      <c r="H201" s="97">
        <f t="shared" si="64"/>
        <v>403</v>
      </c>
      <c r="I201" s="97">
        <f t="shared" si="64"/>
        <v>403</v>
      </c>
      <c r="J201" s="97">
        <f t="shared" si="64"/>
        <v>403</v>
      </c>
      <c r="K201" s="97">
        <f t="shared" si="64"/>
        <v>404</v>
      </c>
      <c r="L201" s="97">
        <f t="shared" si="64"/>
        <v>405</v>
      </c>
      <c r="M201" s="97">
        <f t="shared" si="64"/>
        <v>405</v>
      </c>
      <c r="N201" s="97">
        <f t="shared" si="64"/>
        <v>405</v>
      </c>
      <c r="O201" s="97">
        <f t="shared" si="64"/>
        <v>405</v>
      </c>
      <c r="P201" s="97">
        <f t="shared" si="64"/>
        <v>405</v>
      </c>
    </row>
    <row r="202" spans="2:17" x14ac:dyDescent="0.25">
      <c r="C202" s="105" t="s">
        <v>206</v>
      </c>
      <c r="D202" s="96">
        <f>+'POBLACION DEMANDANTE EFECTIVA'!D118*E195</f>
        <v>46.400000000000006</v>
      </c>
      <c r="E202" s="96">
        <f>ROUND(($D$202*(1+$A$9)^(E200-$D$200)),0)</f>
        <v>46</v>
      </c>
      <c r="F202" s="96">
        <f>ROUND(($D$202*(1+$A$9)^(F200-$D$200)),0)</f>
        <v>46</v>
      </c>
      <c r="G202" s="96">
        <f>ROUND(($D$202*(1+$A$9)^(G200-$D$200)),0)</f>
        <v>46</v>
      </c>
      <c r="H202" s="96">
        <f t="shared" ref="H202:K202" si="65">ROUND(($D$202*(1+$A$9)^(H200-$D$200)),0)</f>
        <v>46</v>
      </c>
      <c r="I202" s="96">
        <f t="shared" si="65"/>
        <v>46</v>
      </c>
      <c r="J202" s="96">
        <f t="shared" si="65"/>
        <v>46</v>
      </c>
      <c r="K202" s="96">
        <f t="shared" si="65"/>
        <v>46</v>
      </c>
      <c r="L202" s="96">
        <f t="shared" ref="L202:P202" si="66">ROUND(($D$202*(1+$A$9)^(L200-$D$200)),0)</f>
        <v>47</v>
      </c>
      <c r="M202" s="96">
        <f t="shared" si="66"/>
        <v>47</v>
      </c>
      <c r="N202" s="96">
        <f t="shared" si="66"/>
        <v>47</v>
      </c>
      <c r="O202" s="96">
        <f t="shared" si="66"/>
        <v>47</v>
      </c>
      <c r="P202" s="96">
        <f t="shared" si="66"/>
        <v>47</v>
      </c>
    </row>
    <row r="203" spans="2:17" x14ac:dyDescent="0.25">
      <c r="C203" s="105" t="s">
        <v>207</v>
      </c>
      <c r="D203" s="96">
        <f>+'POBLACION DEMANDANTE EFECTIVA'!D119*E196</f>
        <v>356.8</v>
      </c>
      <c r="E203" s="96">
        <f t="shared" ref="E203:J203" si="67">ROUND(($D$203*(1+$A$9)^(E200-$D$200)),0)</f>
        <v>357</v>
      </c>
      <c r="F203" s="96">
        <f t="shared" si="67"/>
        <v>357</v>
      </c>
      <c r="G203" s="96">
        <f t="shared" si="67"/>
        <v>357</v>
      </c>
      <c r="H203" s="96">
        <f t="shared" si="67"/>
        <v>357</v>
      </c>
      <c r="I203" s="96">
        <f t="shared" si="67"/>
        <v>357</v>
      </c>
      <c r="J203" s="96">
        <f t="shared" si="67"/>
        <v>357</v>
      </c>
      <c r="K203" s="96">
        <f t="shared" ref="K203:M203" si="68">ROUND(($D$203*(1+$A$9)^(K200-$D$200)),0)</f>
        <v>358</v>
      </c>
      <c r="L203" s="96">
        <f t="shared" si="68"/>
        <v>358</v>
      </c>
      <c r="M203" s="96">
        <f t="shared" si="68"/>
        <v>358</v>
      </c>
      <c r="N203" s="96">
        <f t="shared" ref="N203:P203" si="69">ROUND(($D$203*(1+$A$9)^(N200-$D$200)),0)</f>
        <v>358</v>
      </c>
      <c r="O203" s="96">
        <f t="shared" si="69"/>
        <v>358</v>
      </c>
      <c r="P203" s="96">
        <f t="shared" si="69"/>
        <v>358</v>
      </c>
    </row>
    <row r="204" spans="2:17" x14ac:dyDescent="0.25">
      <c r="C204" s="256"/>
      <c r="D204" s="25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</row>
    <row r="205" spans="2:17" ht="25.5" customHeight="1" x14ac:dyDescent="0.25">
      <c r="B205" s="130"/>
      <c r="C205" s="267" t="s">
        <v>209</v>
      </c>
      <c r="D205" s="267"/>
      <c r="E205" s="267"/>
      <c r="F205" s="26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30"/>
    </row>
    <row r="206" spans="2:17" ht="36" customHeight="1" x14ac:dyDescent="0.25">
      <c r="B206" s="130"/>
      <c r="C206" s="26" t="s">
        <v>212</v>
      </c>
      <c r="D206" s="26" t="s">
        <v>31</v>
      </c>
      <c r="E206" s="239" t="s">
        <v>447</v>
      </c>
      <c r="F206" s="239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30"/>
    </row>
    <row r="207" spans="2:17" x14ac:dyDescent="0.25">
      <c r="B207" s="130"/>
      <c r="C207" s="267" t="s">
        <v>214</v>
      </c>
      <c r="D207" s="30" t="s">
        <v>181</v>
      </c>
      <c r="E207" s="268">
        <v>1</v>
      </c>
      <c r="F207" s="269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30"/>
    </row>
    <row r="208" spans="2:17" x14ac:dyDescent="0.25">
      <c r="B208" s="130"/>
      <c r="C208" s="267"/>
      <c r="D208" s="30" t="s">
        <v>182</v>
      </c>
      <c r="E208" s="270">
        <v>1</v>
      </c>
      <c r="F208" s="271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30"/>
    </row>
    <row r="209" spans="2:17" x14ac:dyDescent="0.25">
      <c r="B209" s="130"/>
      <c r="C209" s="267"/>
      <c r="D209" s="30" t="s">
        <v>183</v>
      </c>
      <c r="E209" s="270">
        <v>1</v>
      </c>
      <c r="F209" s="271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30"/>
    </row>
    <row r="210" spans="2:17" x14ac:dyDescent="0.25">
      <c r="B210" s="130"/>
      <c r="C210" s="267"/>
      <c r="D210" s="30" t="s">
        <v>184</v>
      </c>
      <c r="E210" s="270">
        <v>1</v>
      </c>
      <c r="F210" s="271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30"/>
    </row>
    <row r="211" spans="2:17" x14ac:dyDescent="0.25">
      <c r="B211" s="130"/>
      <c r="C211" s="267"/>
      <c r="D211" s="30" t="s">
        <v>185</v>
      </c>
      <c r="E211" s="270">
        <v>1</v>
      </c>
      <c r="F211" s="271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30"/>
    </row>
    <row r="212" spans="2:17" x14ac:dyDescent="0.25">
      <c r="B212" s="130"/>
      <c r="C212" s="267"/>
      <c r="D212" s="30" t="s">
        <v>186</v>
      </c>
      <c r="E212" s="272">
        <v>1</v>
      </c>
      <c r="F212" s="273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30"/>
    </row>
    <row r="213" spans="2:17" x14ac:dyDescent="0.25">
      <c r="D213" s="256"/>
      <c r="E213" s="258"/>
      <c r="F213" s="258"/>
      <c r="G213" s="258"/>
      <c r="H213" s="258"/>
      <c r="I213" s="258"/>
      <c r="J213" s="258"/>
      <c r="K213" s="258"/>
      <c r="L213" s="258"/>
      <c r="M213" s="258"/>
      <c r="N213" s="258"/>
      <c r="O213" s="258"/>
      <c r="P213" s="258"/>
      <c r="Q213" s="265"/>
    </row>
    <row r="214" spans="2:17" x14ac:dyDescent="0.25">
      <c r="C214" s="252" t="s">
        <v>38</v>
      </c>
      <c r="D214" s="249" t="s">
        <v>143</v>
      </c>
      <c r="E214" s="250"/>
      <c r="F214" s="251"/>
      <c r="G214" s="255" t="s">
        <v>39</v>
      </c>
      <c r="H214" s="255"/>
      <c r="I214" s="255"/>
      <c r="J214" s="255"/>
      <c r="K214" s="255"/>
      <c r="L214" s="255"/>
      <c r="M214" s="255"/>
      <c r="N214" s="255"/>
      <c r="O214" s="255"/>
      <c r="P214" s="255"/>
    </row>
    <row r="215" spans="2:17" x14ac:dyDescent="0.25">
      <c r="C215" s="253"/>
      <c r="D215" s="239">
        <v>0</v>
      </c>
      <c r="E215" s="239"/>
      <c r="F215" s="239"/>
      <c r="G215" s="24">
        <v>1</v>
      </c>
      <c r="H215" s="25">
        <v>2</v>
      </c>
      <c r="I215" s="25">
        <v>3</v>
      </c>
      <c r="J215" s="25">
        <v>4</v>
      </c>
      <c r="K215" s="25">
        <v>5</v>
      </c>
      <c r="L215" s="25">
        <v>6</v>
      </c>
      <c r="M215" s="25">
        <v>7</v>
      </c>
      <c r="N215" s="25">
        <v>8</v>
      </c>
      <c r="O215" s="25">
        <v>9</v>
      </c>
      <c r="P215" s="24">
        <v>10</v>
      </c>
    </row>
    <row r="216" spans="2:17" x14ac:dyDescent="0.25">
      <c r="C216" s="254"/>
      <c r="D216" s="95">
        <v>2024</v>
      </c>
      <c r="E216" s="95">
        <v>2025</v>
      </c>
      <c r="F216" s="95">
        <v>2026</v>
      </c>
      <c r="G216" s="95">
        <v>2027</v>
      </c>
      <c r="H216" s="95">
        <v>2028</v>
      </c>
      <c r="I216" s="95">
        <v>2029</v>
      </c>
      <c r="J216" s="95">
        <v>2030</v>
      </c>
      <c r="K216" s="95">
        <v>2031</v>
      </c>
      <c r="L216" s="95">
        <v>2032</v>
      </c>
      <c r="M216" s="95">
        <v>2033</v>
      </c>
      <c r="N216" s="95">
        <v>2034</v>
      </c>
      <c r="O216" s="95">
        <v>2035</v>
      </c>
      <c r="P216" s="95">
        <v>2036</v>
      </c>
    </row>
    <row r="217" spans="2:17" ht="25.5" x14ac:dyDescent="0.25">
      <c r="C217" s="28" t="s">
        <v>218</v>
      </c>
      <c r="D217" s="98">
        <f>+SUM(D218:D223)</f>
        <v>291.20000000000005</v>
      </c>
      <c r="E217" s="98">
        <f>+SUM(E218:E223)</f>
        <v>292</v>
      </c>
      <c r="F217" s="98">
        <f t="shared" ref="F217:P217" si="70">+SUM(F218:F223)</f>
        <v>292</v>
      </c>
      <c r="G217" s="106">
        <f t="shared" si="70"/>
        <v>292</v>
      </c>
      <c r="H217" s="106">
        <f t="shared" si="70"/>
        <v>292</v>
      </c>
      <c r="I217" s="106">
        <f t="shared" si="70"/>
        <v>292</v>
      </c>
      <c r="J217" s="106">
        <f t="shared" si="70"/>
        <v>292</v>
      </c>
      <c r="K217" s="106">
        <f t="shared" si="70"/>
        <v>292</v>
      </c>
      <c r="L217" s="106">
        <f t="shared" si="70"/>
        <v>292</v>
      </c>
      <c r="M217" s="106">
        <f t="shared" si="70"/>
        <v>292</v>
      </c>
      <c r="N217" s="106">
        <f t="shared" si="70"/>
        <v>292</v>
      </c>
      <c r="O217" s="106">
        <f t="shared" si="70"/>
        <v>292</v>
      </c>
      <c r="P217" s="106">
        <f t="shared" si="70"/>
        <v>292</v>
      </c>
    </row>
    <row r="218" spans="2:17" x14ac:dyDescent="0.25">
      <c r="C218" s="105" t="s">
        <v>181</v>
      </c>
      <c r="D218" s="94">
        <f>+'POBLACION DEMANDANTE EFECTIVA'!D125*E207</f>
        <v>43.2</v>
      </c>
      <c r="E218" s="94">
        <f>ROUND(($D$218*(1+$A$9)^(E216-$D$216)),0)</f>
        <v>43</v>
      </c>
      <c r="F218" s="94">
        <f>ROUND(($D$218*(1+$A$9)^(F216-$D$216)),0)</f>
        <v>43</v>
      </c>
      <c r="G218" s="94">
        <f>ROUND(($D$218*(1+$A$9)^(G216-$D$216)),0)</f>
        <v>43</v>
      </c>
      <c r="H218" s="94">
        <f t="shared" ref="H218:P218" si="71">ROUND(($D$218*(1+$A$9)^(H216-$D$216)),0)</f>
        <v>43</v>
      </c>
      <c r="I218" s="94">
        <f t="shared" si="71"/>
        <v>43</v>
      </c>
      <c r="J218" s="94">
        <f t="shared" si="71"/>
        <v>43</v>
      </c>
      <c r="K218" s="94">
        <f t="shared" si="71"/>
        <v>43</v>
      </c>
      <c r="L218" s="94">
        <f t="shared" si="71"/>
        <v>43</v>
      </c>
      <c r="M218" s="94">
        <f t="shared" si="71"/>
        <v>43</v>
      </c>
      <c r="N218" s="94">
        <f t="shared" si="71"/>
        <v>43</v>
      </c>
      <c r="O218" s="94">
        <f t="shared" si="71"/>
        <v>43</v>
      </c>
      <c r="P218" s="94">
        <f t="shared" si="71"/>
        <v>43</v>
      </c>
    </row>
    <row r="219" spans="2:17" x14ac:dyDescent="0.25">
      <c r="C219" s="51" t="s">
        <v>182</v>
      </c>
      <c r="D219" s="94">
        <f>+'POBLACION DEMANDANTE EFECTIVA'!D126*E208</f>
        <v>69.600000000000009</v>
      </c>
      <c r="E219" s="94">
        <f>ROUND(($D$219*(1+$A$9)^(E216-$D$216)),0)</f>
        <v>70</v>
      </c>
      <c r="F219" s="94">
        <f t="shared" ref="F219:P219" si="72">ROUND(($D$219*(1+$A$9)^(F216-$D$216)),0)</f>
        <v>70</v>
      </c>
      <c r="G219" s="94">
        <f>ROUND(($D$219*(1+$A$9)^(G216-$D$216)),0)</f>
        <v>70</v>
      </c>
      <c r="H219" s="94">
        <f>ROUND(($D$219*(1+$A$9)^(H216-$D$216)),0)</f>
        <v>70</v>
      </c>
      <c r="I219" s="94">
        <f>ROUND(($D$219*(1+$A$9)^(I216-$D$216)),0)</f>
        <v>70</v>
      </c>
      <c r="J219" s="94">
        <f>ROUND(($D$219*(1+$A$9)^(J216-$D$216)),0)</f>
        <v>70</v>
      </c>
      <c r="K219" s="94">
        <f t="shared" si="72"/>
        <v>70</v>
      </c>
      <c r="L219" s="94">
        <f t="shared" si="72"/>
        <v>70</v>
      </c>
      <c r="M219" s="94">
        <f t="shared" si="72"/>
        <v>70</v>
      </c>
      <c r="N219" s="94">
        <f t="shared" si="72"/>
        <v>70</v>
      </c>
      <c r="O219" s="94">
        <f t="shared" si="72"/>
        <v>70</v>
      </c>
      <c r="P219" s="94">
        <f t="shared" si="72"/>
        <v>70</v>
      </c>
    </row>
    <row r="220" spans="2:17" x14ac:dyDescent="0.25">
      <c r="C220" s="51" t="s">
        <v>183</v>
      </c>
      <c r="D220" s="94">
        <f>+'POBLACION DEMANDANTE EFECTIVA'!D127*E209</f>
        <v>52.800000000000004</v>
      </c>
      <c r="E220" s="94">
        <f>ROUND(($D$220*(1+$A$9)^(E216-$D$216)),0)</f>
        <v>53</v>
      </c>
      <c r="F220" s="94">
        <f t="shared" ref="F220:P220" si="73">ROUND(($D$220*(1+$A$9)^(F216-$D$216)),0)</f>
        <v>53</v>
      </c>
      <c r="G220" s="94">
        <f t="shared" si="73"/>
        <v>53</v>
      </c>
      <c r="H220" s="94">
        <f t="shared" si="73"/>
        <v>53</v>
      </c>
      <c r="I220" s="94">
        <f>ROUND(($D$220*(1+$A$9)^(I216-$D$216)),0)</f>
        <v>53</v>
      </c>
      <c r="J220" s="94">
        <f t="shared" si="73"/>
        <v>53</v>
      </c>
      <c r="K220" s="94">
        <f t="shared" si="73"/>
        <v>53</v>
      </c>
      <c r="L220" s="94">
        <f t="shared" si="73"/>
        <v>53</v>
      </c>
      <c r="M220" s="94">
        <f t="shared" si="73"/>
        <v>53</v>
      </c>
      <c r="N220" s="94">
        <f t="shared" si="73"/>
        <v>53</v>
      </c>
      <c r="O220" s="94">
        <f t="shared" si="73"/>
        <v>53</v>
      </c>
      <c r="P220" s="94">
        <f t="shared" si="73"/>
        <v>53</v>
      </c>
    </row>
    <row r="221" spans="2:17" x14ac:dyDescent="0.25">
      <c r="C221" s="51" t="s">
        <v>184</v>
      </c>
      <c r="D221" s="94">
        <f>+'POBLACION DEMANDANTE EFECTIVA'!D128*E210</f>
        <v>43.2</v>
      </c>
      <c r="E221" s="94">
        <f>ROUND(($D$221*(1+$A$9)^(E216-$D$216)),0)</f>
        <v>43</v>
      </c>
      <c r="F221" s="94">
        <f t="shared" ref="F221:P221" si="74">ROUND(($D$221*(1+$A$9)^(F216-$D$216)),0)</f>
        <v>43</v>
      </c>
      <c r="G221" s="94">
        <f>ROUND(($D$221*(1+$A$9)^(G216-$D$216)),0)</f>
        <v>43</v>
      </c>
      <c r="H221" s="94">
        <f>ROUND(($D$221*(1+$A$9)^(H216-$D$216)),0)</f>
        <v>43</v>
      </c>
      <c r="I221" s="94">
        <f>ROUND(($D$221*(1+$A$9)^(I216-$D$216)),0)</f>
        <v>43</v>
      </c>
      <c r="J221" s="94">
        <f t="shared" si="74"/>
        <v>43</v>
      </c>
      <c r="K221" s="94">
        <f t="shared" si="74"/>
        <v>43</v>
      </c>
      <c r="L221" s="94">
        <f t="shared" si="74"/>
        <v>43</v>
      </c>
      <c r="M221" s="94">
        <f t="shared" si="74"/>
        <v>43</v>
      </c>
      <c r="N221" s="94">
        <f t="shared" si="74"/>
        <v>43</v>
      </c>
      <c r="O221" s="94">
        <f t="shared" si="74"/>
        <v>43</v>
      </c>
      <c r="P221" s="94">
        <f t="shared" si="74"/>
        <v>43</v>
      </c>
    </row>
    <row r="222" spans="2:17" x14ac:dyDescent="0.25">
      <c r="C222" s="51" t="s">
        <v>185</v>
      </c>
      <c r="D222" s="94">
        <f>+'POBLACION DEMANDANTE EFECTIVA'!D129*E211</f>
        <v>36.800000000000004</v>
      </c>
      <c r="E222" s="94">
        <f>ROUND(($D$222*(1+$A$9)^(E216-$D$216)),0)</f>
        <v>37</v>
      </c>
      <c r="F222" s="94">
        <f t="shared" ref="F222:P222" si="75">ROUND(($D$222*(1+$A$9)^(F216-$D$216)),0)</f>
        <v>37</v>
      </c>
      <c r="G222" s="94">
        <f t="shared" si="75"/>
        <v>37</v>
      </c>
      <c r="H222" s="94">
        <f t="shared" si="75"/>
        <v>37</v>
      </c>
      <c r="I222" s="94">
        <f t="shared" si="75"/>
        <v>37</v>
      </c>
      <c r="J222" s="94">
        <f t="shared" si="75"/>
        <v>37</v>
      </c>
      <c r="K222" s="94">
        <f t="shared" si="75"/>
        <v>37</v>
      </c>
      <c r="L222" s="94">
        <f t="shared" si="75"/>
        <v>37</v>
      </c>
      <c r="M222" s="94">
        <f t="shared" si="75"/>
        <v>37</v>
      </c>
      <c r="N222" s="94">
        <f t="shared" si="75"/>
        <v>37</v>
      </c>
      <c r="O222" s="94">
        <f t="shared" si="75"/>
        <v>37</v>
      </c>
      <c r="P222" s="94">
        <f t="shared" si="75"/>
        <v>37</v>
      </c>
    </row>
    <row r="223" spans="2:17" x14ac:dyDescent="0.25">
      <c r="C223" s="109" t="s">
        <v>186</v>
      </c>
      <c r="D223" s="94">
        <f>+'POBLACION DEMANDANTE EFECTIVA'!D130*E212</f>
        <v>45.6</v>
      </c>
      <c r="E223" s="94">
        <f>ROUND(($D$223*(1+$A$9)^(E216-$D$216)),0)</f>
        <v>46</v>
      </c>
      <c r="F223" s="94">
        <f t="shared" ref="F223:P223" si="76">ROUND(($D$223*(1+$A$9)^(F216-$D$216)),0)</f>
        <v>46</v>
      </c>
      <c r="G223" s="94">
        <f>ROUND(($D$223*(1+$A$9)^(G216-$D$216)),0)</f>
        <v>46</v>
      </c>
      <c r="H223" s="94">
        <f>ROUND(($D$223*(1+$A$9)^(H216-$D$216)),0)</f>
        <v>46</v>
      </c>
      <c r="I223" s="94">
        <f>ROUND(($D$223*(1+$A$9)^(I216-$D$216)),0)</f>
        <v>46</v>
      </c>
      <c r="J223" s="94">
        <f t="shared" si="76"/>
        <v>46</v>
      </c>
      <c r="K223" s="94">
        <f t="shared" si="76"/>
        <v>46</v>
      </c>
      <c r="L223" s="94">
        <f t="shared" si="76"/>
        <v>46</v>
      </c>
      <c r="M223" s="94">
        <f t="shared" si="76"/>
        <v>46</v>
      </c>
      <c r="N223" s="94">
        <f t="shared" si="76"/>
        <v>46</v>
      </c>
      <c r="O223" s="94">
        <f t="shared" si="76"/>
        <v>46</v>
      </c>
      <c r="P223" s="94">
        <f t="shared" si="76"/>
        <v>46</v>
      </c>
    </row>
    <row r="224" spans="2:17" x14ac:dyDescent="0.25">
      <c r="B224" s="256" t="s">
        <v>180</v>
      </c>
      <c r="C224" s="257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65"/>
    </row>
    <row r="225" spans="2:18" ht="15" customHeight="1" x14ac:dyDescent="0.25">
      <c r="B225" s="130"/>
      <c r="C225" s="267" t="s">
        <v>433</v>
      </c>
      <c r="D225" s="267"/>
      <c r="E225" s="267"/>
      <c r="F225" s="267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30"/>
    </row>
    <row r="226" spans="2:18" ht="76.5" customHeight="1" x14ac:dyDescent="0.25">
      <c r="B226" s="130"/>
      <c r="C226" s="20" t="s">
        <v>30</v>
      </c>
      <c r="D226" s="20" t="s">
        <v>31</v>
      </c>
      <c r="E226" s="239" t="s">
        <v>447</v>
      </c>
      <c r="F226" s="239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30"/>
    </row>
    <row r="227" spans="2:18" x14ac:dyDescent="0.25">
      <c r="B227" s="130"/>
      <c r="C227" s="28" t="s">
        <v>253</v>
      </c>
      <c r="D227" s="109" t="s">
        <v>195</v>
      </c>
      <c r="E227" s="274">
        <v>4</v>
      </c>
      <c r="F227" s="274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30"/>
    </row>
    <row r="228" spans="2:18" x14ac:dyDescent="0.25">
      <c r="D228" s="256"/>
      <c r="E228" s="258"/>
      <c r="F228" s="258"/>
      <c r="G228" s="258"/>
      <c r="H228" s="258"/>
      <c r="I228" s="258"/>
      <c r="J228" s="258"/>
      <c r="K228" s="258"/>
      <c r="L228" s="258"/>
      <c r="M228" s="258"/>
      <c r="N228" s="258"/>
      <c r="O228" s="258"/>
      <c r="P228" s="258"/>
      <c r="Q228" s="258"/>
    </row>
    <row r="229" spans="2:18" x14ac:dyDescent="0.25">
      <c r="B229" s="112"/>
      <c r="C229" s="239" t="s">
        <v>24</v>
      </c>
      <c r="D229" s="249" t="s">
        <v>143</v>
      </c>
      <c r="E229" s="250"/>
      <c r="F229" s="251"/>
      <c r="G229" s="255" t="s">
        <v>39</v>
      </c>
      <c r="H229" s="255"/>
      <c r="I229" s="255"/>
      <c r="J229" s="255"/>
      <c r="K229" s="255"/>
      <c r="L229" s="255"/>
      <c r="M229" s="255"/>
      <c r="N229" s="255"/>
      <c r="O229" s="255"/>
      <c r="P229" s="255"/>
      <c r="Q229" s="112"/>
      <c r="R229" s="112"/>
    </row>
    <row r="230" spans="2:18" x14ac:dyDescent="0.25">
      <c r="B230" s="112"/>
      <c r="C230" s="239"/>
      <c r="D230" s="259">
        <v>0</v>
      </c>
      <c r="E230" s="260"/>
      <c r="F230" s="261"/>
      <c r="G230" s="24">
        <v>1</v>
      </c>
      <c r="H230" s="24">
        <v>2</v>
      </c>
      <c r="I230" s="24">
        <v>3</v>
      </c>
      <c r="J230" s="24">
        <v>4</v>
      </c>
      <c r="K230" s="24">
        <v>5</v>
      </c>
      <c r="L230" s="24">
        <v>6</v>
      </c>
      <c r="M230" s="24">
        <v>7</v>
      </c>
      <c r="N230" s="24">
        <v>8</v>
      </c>
      <c r="O230" s="24">
        <v>9</v>
      </c>
      <c r="P230" s="24">
        <v>10</v>
      </c>
      <c r="Q230" s="112"/>
      <c r="R230" s="112"/>
    </row>
    <row r="231" spans="2:18" x14ac:dyDescent="0.25">
      <c r="B231" s="112"/>
      <c r="C231" s="239"/>
      <c r="D231" s="20">
        <v>2024</v>
      </c>
      <c r="E231" s="20">
        <v>2025</v>
      </c>
      <c r="F231" s="20">
        <v>2026</v>
      </c>
      <c r="G231" s="20">
        <v>2027</v>
      </c>
      <c r="H231" s="20">
        <v>2028</v>
      </c>
      <c r="I231" s="20">
        <v>2029</v>
      </c>
      <c r="J231" s="20">
        <v>2030</v>
      </c>
      <c r="K231" s="20">
        <v>2031</v>
      </c>
      <c r="L231" s="20">
        <v>2032</v>
      </c>
      <c r="M231" s="20">
        <v>2033</v>
      </c>
      <c r="N231" s="20">
        <v>2034</v>
      </c>
      <c r="O231" s="20">
        <v>2035</v>
      </c>
      <c r="P231" s="20">
        <v>2036</v>
      </c>
      <c r="Q231" s="112"/>
      <c r="R231" s="112"/>
    </row>
    <row r="232" spans="2:18" x14ac:dyDescent="0.25">
      <c r="B232" s="112"/>
      <c r="C232" s="115" t="s">
        <v>213</v>
      </c>
      <c r="D232" s="97">
        <f t="shared" ref="D232:I232" si="77">SUM(D233:D233)</f>
        <v>57.6</v>
      </c>
      <c r="E232" s="97">
        <f t="shared" si="77"/>
        <v>58</v>
      </c>
      <c r="F232" s="97">
        <f t="shared" si="77"/>
        <v>58</v>
      </c>
      <c r="G232" s="106">
        <f t="shared" si="77"/>
        <v>58</v>
      </c>
      <c r="H232" s="106">
        <f t="shared" si="77"/>
        <v>58</v>
      </c>
      <c r="I232" s="106">
        <f t="shared" si="77"/>
        <v>58</v>
      </c>
      <c r="J232" s="106">
        <f t="shared" ref="J232:P232" si="78">SUM(J233:J233)</f>
        <v>58</v>
      </c>
      <c r="K232" s="106">
        <f t="shared" si="78"/>
        <v>58</v>
      </c>
      <c r="L232" s="106">
        <f t="shared" si="78"/>
        <v>58</v>
      </c>
      <c r="M232" s="106">
        <f t="shared" si="78"/>
        <v>58</v>
      </c>
      <c r="N232" s="106">
        <f t="shared" si="78"/>
        <v>58</v>
      </c>
      <c r="O232" s="106">
        <f t="shared" si="78"/>
        <v>58</v>
      </c>
      <c r="P232" s="106">
        <f t="shared" si="78"/>
        <v>58</v>
      </c>
      <c r="Q232" s="112"/>
      <c r="R232" s="112"/>
    </row>
    <row r="233" spans="2:18" x14ac:dyDescent="0.25">
      <c r="B233" s="112"/>
      <c r="C233" s="105" t="s">
        <v>33</v>
      </c>
      <c r="D233" s="96">
        <f>+'POBLACION DEMANDANTE EFECTIVA'!D136*E227</f>
        <v>57.6</v>
      </c>
      <c r="E233" s="96">
        <f>ROUND(($D$233*(1+$A$9)^(E231-$D$231)),0)</f>
        <v>58</v>
      </c>
      <c r="F233" s="96">
        <f t="shared" ref="F233:P233" si="79">ROUND(($D$233*(1+$A$9)^(F231-$D$231)),0)</f>
        <v>58</v>
      </c>
      <c r="G233" s="96">
        <f t="shared" si="79"/>
        <v>58</v>
      </c>
      <c r="H233" s="96">
        <f t="shared" si="79"/>
        <v>58</v>
      </c>
      <c r="I233" s="96">
        <f t="shared" si="79"/>
        <v>58</v>
      </c>
      <c r="J233" s="96">
        <f t="shared" si="79"/>
        <v>58</v>
      </c>
      <c r="K233" s="96">
        <f t="shared" si="79"/>
        <v>58</v>
      </c>
      <c r="L233" s="96">
        <f t="shared" si="79"/>
        <v>58</v>
      </c>
      <c r="M233" s="96">
        <f t="shared" si="79"/>
        <v>58</v>
      </c>
      <c r="N233" s="96">
        <f t="shared" si="79"/>
        <v>58</v>
      </c>
      <c r="O233" s="96">
        <f t="shared" si="79"/>
        <v>58</v>
      </c>
      <c r="P233" s="96">
        <f t="shared" si="79"/>
        <v>58</v>
      </c>
      <c r="Q233" s="112"/>
      <c r="R233" s="112"/>
    </row>
    <row r="234" spans="2:18" x14ac:dyDescent="0.25">
      <c r="C234" s="256"/>
      <c r="D234" s="258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93"/>
      <c r="R234" s="112"/>
    </row>
    <row r="235" spans="2:18" ht="15" customHeight="1" x14ac:dyDescent="0.25">
      <c r="B235" s="130"/>
      <c r="C235" s="267" t="s">
        <v>35</v>
      </c>
      <c r="D235" s="267"/>
      <c r="E235" s="267"/>
      <c r="F235" s="267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30"/>
    </row>
    <row r="236" spans="2:18" ht="76.5" customHeight="1" x14ac:dyDescent="0.25">
      <c r="B236" s="130"/>
      <c r="C236" s="20" t="s">
        <v>30</v>
      </c>
      <c r="D236" s="20" t="s">
        <v>31</v>
      </c>
      <c r="E236" s="239" t="s">
        <v>445</v>
      </c>
      <c r="F236" s="239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30"/>
    </row>
    <row r="237" spans="2:18" x14ac:dyDescent="0.25">
      <c r="B237" s="130"/>
      <c r="C237" s="28" t="s">
        <v>436</v>
      </c>
      <c r="D237" s="205" t="str">
        <f>+C243</f>
        <v xml:space="preserve">4 a 85 años a mas </v>
      </c>
      <c r="E237" s="274">
        <v>1</v>
      </c>
      <c r="F237" s="274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30"/>
    </row>
    <row r="238" spans="2:18" x14ac:dyDescent="0.25">
      <c r="C238" s="1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112"/>
    </row>
    <row r="239" spans="2:18" x14ac:dyDescent="0.25">
      <c r="C239" s="252" t="s">
        <v>222</v>
      </c>
      <c r="D239" s="249" t="s">
        <v>143</v>
      </c>
      <c r="E239" s="250"/>
      <c r="F239" s="251"/>
      <c r="G239" s="255" t="s">
        <v>39</v>
      </c>
      <c r="H239" s="255"/>
      <c r="I239" s="255"/>
      <c r="J239" s="255"/>
      <c r="K239" s="255"/>
      <c r="L239" s="255"/>
      <c r="M239" s="255"/>
      <c r="N239" s="255"/>
      <c r="O239" s="255"/>
      <c r="P239" s="255"/>
    </row>
    <row r="240" spans="2:18" x14ac:dyDescent="0.25">
      <c r="C240" s="253"/>
      <c r="D240" s="239">
        <v>0</v>
      </c>
      <c r="E240" s="239"/>
      <c r="F240" s="239"/>
      <c r="G240" s="24">
        <v>1</v>
      </c>
      <c r="H240" s="25">
        <v>2</v>
      </c>
      <c r="I240" s="25">
        <v>3</v>
      </c>
      <c r="J240" s="25">
        <v>4</v>
      </c>
      <c r="K240" s="25">
        <v>5</v>
      </c>
      <c r="L240" s="25">
        <v>6</v>
      </c>
      <c r="M240" s="25">
        <v>7</v>
      </c>
      <c r="N240" s="25">
        <v>8</v>
      </c>
      <c r="O240" s="25">
        <v>9</v>
      </c>
      <c r="P240" s="24">
        <v>10</v>
      </c>
    </row>
    <row r="241" spans="2:17" x14ac:dyDescent="0.25">
      <c r="C241" s="254"/>
      <c r="D241" s="95">
        <v>2024</v>
      </c>
      <c r="E241" s="95">
        <v>2025</v>
      </c>
      <c r="F241" s="95">
        <v>2026</v>
      </c>
      <c r="G241" s="95">
        <v>2027</v>
      </c>
      <c r="H241" s="95">
        <v>2028</v>
      </c>
      <c r="I241" s="95">
        <v>2029</v>
      </c>
      <c r="J241" s="95">
        <v>2030</v>
      </c>
      <c r="K241" s="95">
        <v>2031</v>
      </c>
      <c r="L241" s="95">
        <v>2032</v>
      </c>
      <c r="M241" s="95">
        <v>2033</v>
      </c>
      <c r="N241" s="95">
        <v>2034</v>
      </c>
      <c r="O241" s="95">
        <v>2035</v>
      </c>
      <c r="P241" s="95">
        <v>2036</v>
      </c>
    </row>
    <row r="242" spans="2:17" x14ac:dyDescent="0.25">
      <c r="C242" s="28" t="s">
        <v>391</v>
      </c>
      <c r="D242" s="98">
        <f>+D243</f>
        <v>156.91199999999998</v>
      </c>
      <c r="E242" s="98">
        <f t="shared" ref="E242:P242" si="80">+E243</f>
        <v>157</v>
      </c>
      <c r="F242" s="98">
        <f t="shared" si="80"/>
        <v>157</v>
      </c>
      <c r="G242" s="106">
        <f t="shared" si="80"/>
        <v>157</v>
      </c>
      <c r="H242" s="106">
        <f t="shared" si="80"/>
        <v>157</v>
      </c>
      <c r="I242" s="106">
        <f t="shared" si="80"/>
        <v>157</v>
      </c>
      <c r="J242" s="106">
        <f t="shared" si="80"/>
        <v>157</v>
      </c>
      <c r="K242" s="106">
        <f t="shared" si="80"/>
        <v>157</v>
      </c>
      <c r="L242" s="106">
        <f t="shared" si="80"/>
        <v>157</v>
      </c>
      <c r="M242" s="106">
        <f t="shared" si="80"/>
        <v>157</v>
      </c>
      <c r="N242" s="106">
        <f t="shared" si="80"/>
        <v>157</v>
      </c>
      <c r="O242" s="106">
        <f t="shared" si="80"/>
        <v>157</v>
      </c>
      <c r="P242" s="106">
        <f t="shared" si="80"/>
        <v>157</v>
      </c>
    </row>
    <row r="243" spans="2:17" x14ac:dyDescent="0.25">
      <c r="C243" s="195" t="s">
        <v>393</v>
      </c>
      <c r="D243" s="94">
        <f>+'POBLACION DEMANDANTE EFECTIVA'!D142*E237</f>
        <v>156.91199999999998</v>
      </c>
      <c r="E243" s="94">
        <f t="shared" ref="E243:P243" si="81">ROUND(($D$243*(1+$A$9)^(E241-$D$241)),0)</f>
        <v>157</v>
      </c>
      <c r="F243" s="94">
        <f t="shared" si="81"/>
        <v>157</v>
      </c>
      <c r="G243" s="94">
        <f t="shared" si="81"/>
        <v>157</v>
      </c>
      <c r="H243" s="94">
        <f t="shared" si="81"/>
        <v>157</v>
      </c>
      <c r="I243" s="94">
        <f t="shared" si="81"/>
        <v>157</v>
      </c>
      <c r="J243" s="94">
        <f t="shared" si="81"/>
        <v>157</v>
      </c>
      <c r="K243" s="94">
        <f t="shared" si="81"/>
        <v>157</v>
      </c>
      <c r="L243" s="94">
        <f t="shared" si="81"/>
        <v>157</v>
      </c>
      <c r="M243" s="94">
        <f t="shared" si="81"/>
        <v>157</v>
      </c>
      <c r="N243" s="94">
        <f t="shared" si="81"/>
        <v>157</v>
      </c>
      <c r="O243" s="94">
        <f t="shared" si="81"/>
        <v>157</v>
      </c>
      <c r="P243" s="94">
        <f t="shared" si="81"/>
        <v>157</v>
      </c>
    </row>
    <row r="244" spans="2:17" x14ac:dyDescent="0.25">
      <c r="B244" s="256"/>
      <c r="C244" s="257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</row>
    <row r="245" spans="2:17" x14ac:dyDescent="0.25">
      <c r="B245" s="130"/>
      <c r="C245" s="267" t="str">
        <f>+C235</f>
        <v>RATIO DE CONCENTRACION - ATENCIONES PREVENTIVAS</v>
      </c>
      <c r="D245" s="267"/>
      <c r="E245" s="267"/>
      <c r="F245" s="267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30"/>
    </row>
    <row r="246" spans="2:17" ht="76.5" customHeight="1" x14ac:dyDescent="0.25">
      <c r="B246" s="130"/>
      <c r="C246" s="20" t="s">
        <v>30</v>
      </c>
      <c r="D246" s="20" t="s">
        <v>31</v>
      </c>
      <c r="E246" s="239" t="s">
        <v>445</v>
      </c>
      <c r="F246" s="239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30"/>
    </row>
    <row r="247" spans="2:17" x14ac:dyDescent="0.25">
      <c r="B247" s="130"/>
      <c r="C247" s="28" t="s">
        <v>437</v>
      </c>
      <c r="D247" s="205" t="str">
        <f>+C253</f>
        <v xml:space="preserve">3 a 85 años a mas </v>
      </c>
      <c r="E247" s="274">
        <v>1</v>
      </c>
      <c r="F247" s="274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30"/>
    </row>
    <row r="248" spans="2:17" x14ac:dyDescent="0.25">
      <c r="B248" s="1"/>
      <c r="D248" s="256"/>
      <c r="E248" s="256"/>
      <c r="F248" s="256"/>
      <c r="G248" s="256"/>
      <c r="H248" s="256"/>
      <c r="I248" s="256"/>
      <c r="J248" s="256"/>
      <c r="K248" s="256"/>
      <c r="L248" s="256"/>
      <c r="M248" s="256"/>
      <c r="N248" s="256"/>
      <c r="O248" s="256"/>
      <c r="P248" s="256"/>
      <c r="Q248" s="256"/>
    </row>
    <row r="249" spans="2:17" ht="15" customHeight="1" x14ac:dyDescent="0.25">
      <c r="C249" s="252" t="s">
        <v>222</v>
      </c>
      <c r="D249" s="249" t="s">
        <v>143</v>
      </c>
      <c r="E249" s="250"/>
      <c r="F249" s="251"/>
      <c r="G249" s="259" t="s">
        <v>39</v>
      </c>
      <c r="H249" s="260"/>
      <c r="I249" s="260"/>
      <c r="J249" s="260"/>
      <c r="K249" s="260"/>
      <c r="L249" s="260"/>
      <c r="M249" s="260"/>
      <c r="N249" s="260"/>
      <c r="O249" s="260"/>
      <c r="P249" s="260"/>
    </row>
    <row r="250" spans="2:17" x14ac:dyDescent="0.25">
      <c r="C250" s="253"/>
      <c r="D250" s="249">
        <v>0</v>
      </c>
      <c r="E250" s="250"/>
      <c r="F250" s="251"/>
      <c r="G250" s="24">
        <v>1</v>
      </c>
      <c r="H250" s="25">
        <v>2</v>
      </c>
      <c r="I250" s="25">
        <v>3</v>
      </c>
      <c r="J250" s="25">
        <v>4</v>
      </c>
      <c r="K250" s="25">
        <v>5</v>
      </c>
      <c r="L250" s="25">
        <v>6</v>
      </c>
      <c r="M250" s="25">
        <v>7</v>
      </c>
      <c r="N250" s="25">
        <v>8</v>
      </c>
      <c r="O250" s="25">
        <v>9</v>
      </c>
      <c r="P250" s="24">
        <v>10</v>
      </c>
    </row>
    <row r="251" spans="2:17" x14ac:dyDescent="0.25">
      <c r="C251" s="254"/>
      <c r="D251" s="95">
        <v>2024</v>
      </c>
      <c r="E251" s="95">
        <v>2025</v>
      </c>
      <c r="F251" s="95">
        <v>2026</v>
      </c>
      <c r="G251" s="95">
        <v>2027</v>
      </c>
      <c r="H251" s="95">
        <v>2028</v>
      </c>
      <c r="I251" s="95">
        <v>2029</v>
      </c>
      <c r="J251" s="95">
        <v>2030</v>
      </c>
      <c r="K251" s="95">
        <v>2031</v>
      </c>
      <c r="L251" s="95">
        <v>2032</v>
      </c>
      <c r="M251" s="95">
        <v>2033</v>
      </c>
      <c r="N251" s="95">
        <v>2034</v>
      </c>
      <c r="O251" s="95">
        <v>2035</v>
      </c>
      <c r="P251" s="95">
        <v>2036</v>
      </c>
    </row>
    <row r="252" spans="2:17" x14ac:dyDescent="0.25">
      <c r="C252" s="28" t="s">
        <v>349</v>
      </c>
      <c r="D252" s="98">
        <f>+D253</f>
        <v>337.4</v>
      </c>
      <c r="E252" s="98">
        <f t="shared" ref="E252:P252" si="82">+E253</f>
        <v>338</v>
      </c>
      <c r="F252" s="98">
        <f t="shared" si="82"/>
        <v>338</v>
      </c>
      <c r="G252" s="106">
        <f t="shared" si="82"/>
        <v>338</v>
      </c>
      <c r="H252" s="106">
        <f t="shared" si="82"/>
        <v>338</v>
      </c>
      <c r="I252" s="106">
        <f t="shared" si="82"/>
        <v>338</v>
      </c>
      <c r="J252" s="106">
        <f t="shared" si="82"/>
        <v>338</v>
      </c>
      <c r="K252" s="106">
        <f t="shared" si="82"/>
        <v>338</v>
      </c>
      <c r="L252" s="106">
        <f t="shared" si="82"/>
        <v>338</v>
      </c>
      <c r="M252" s="106">
        <f t="shared" si="82"/>
        <v>338</v>
      </c>
      <c r="N252" s="106">
        <f t="shared" si="82"/>
        <v>338</v>
      </c>
      <c r="O252" s="106">
        <f t="shared" si="82"/>
        <v>339</v>
      </c>
      <c r="P252" s="106">
        <f t="shared" si="82"/>
        <v>339</v>
      </c>
    </row>
    <row r="253" spans="2:17" x14ac:dyDescent="0.25">
      <c r="C253" s="195" t="s">
        <v>397</v>
      </c>
      <c r="D253" s="94">
        <f>+'POBLACION DEMANDANTE EFECTIVA'!D148*E247</f>
        <v>337.4</v>
      </c>
      <c r="E253" s="94">
        <f t="shared" ref="E253:P253" si="83">ROUND(($D$253*(1+$A$9)^(E251-$D$251)),0)</f>
        <v>338</v>
      </c>
      <c r="F253" s="94">
        <f t="shared" si="83"/>
        <v>338</v>
      </c>
      <c r="G253" s="94">
        <f t="shared" si="83"/>
        <v>338</v>
      </c>
      <c r="H253" s="94">
        <f t="shared" si="83"/>
        <v>338</v>
      </c>
      <c r="I253" s="94">
        <f t="shared" si="83"/>
        <v>338</v>
      </c>
      <c r="J253" s="94">
        <f t="shared" si="83"/>
        <v>338</v>
      </c>
      <c r="K253" s="94">
        <f t="shared" si="83"/>
        <v>338</v>
      </c>
      <c r="L253" s="94">
        <f t="shared" si="83"/>
        <v>338</v>
      </c>
      <c r="M253" s="94">
        <f t="shared" si="83"/>
        <v>338</v>
      </c>
      <c r="N253" s="94">
        <f t="shared" si="83"/>
        <v>338</v>
      </c>
      <c r="O253" s="94">
        <f t="shared" si="83"/>
        <v>339</v>
      </c>
      <c r="P253" s="94">
        <f t="shared" si="83"/>
        <v>339</v>
      </c>
    </row>
    <row r="254" spans="2:17" x14ac:dyDescent="0.25">
      <c r="C254" s="256"/>
      <c r="D254" s="257"/>
      <c r="E254" s="258"/>
      <c r="F254" s="258"/>
      <c r="G254" s="258"/>
      <c r="H254" s="258"/>
      <c r="I254" s="258"/>
      <c r="J254" s="258"/>
      <c r="K254" s="258"/>
      <c r="L254" s="258"/>
      <c r="M254" s="258"/>
      <c r="N254" s="258"/>
      <c r="O254" s="258"/>
      <c r="P254" s="258"/>
      <c r="Q254" s="258"/>
    </row>
    <row r="255" spans="2:17" ht="15" customHeight="1" x14ac:dyDescent="0.25">
      <c r="B255" s="130"/>
      <c r="C255" s="267" t="s">
        <v>433</v>
      </c>
      <c r="D255" s="267"/>
      <c r="E255" s="267"/>
      <c r="F255" s="267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30"/>
    </row>
    <row r="256" spans="2:17" ht="76.5" customHeight="1" x14ac:dyDescent="0.25">
      <c r="B256" s="130"/>
      <c r="C256" s="20" t="s">
        <v>30</v>
      </c>
      <c r="D256" s="20" t="s">
        <v>31</v>
      </c>
      <c r="E256" s="239" t="s">
        <v>445</v>
      </c>
      <c r="F256" s="239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30"/>
    </row>
    <row r="257" spans="2:17" x14ac:dyDescent="0.25">
      <c r="B257" s="130"/>
      <c r="C257" s="28" t="s">
        <v>438</v>
      </c>
      <c r="D257" s="205" t="str">
        <f>+C263</f>
        <v xml:space="preserve">0 a 85 años a mas </v>
      </c>
      <c r="E257" s="274">
        <v>1</v>
      </c>
      <c r="F257" s="274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30"/>
    </row>
    <row r="258" spans="2:17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2:17" x14ac:dyDescent="0.25">
      <c r="C259" s="252" t="s">
        <v>222</v>
      </c>
      <c r="D259" s="249" t="s">
        <v>143</v>
      </c>
      <c r="E259" s="250"/>
      <c r="F259" s="251"/>
      <c r="G259" s="255" t="s">
        <v>39</v>
      </c>
      <c r="H259" s="255"/>
      <c r="I259" s="255"/>
      <c r="J259" s="255"/>
      <c r="K259" s="255"/>
      <c r="L259" s="255"/>
      <c r="M259" s="255"/>
      <c r="N259" s="255"/>
      <c r="O259" s="255"/>
      <c r="P259" s="255"/>
    </row>
    <row r="260" spans="2:17" x14ac:dyDescent="0.25">
      <c r="C260" s="253"/>
      <c r="D260" s="239">
        <v>0</v>
      </c>
      <c r="E260" s="239"/>
      <c r="F260" s="239"/>
      <c r="G260" s="24">
        <v>1</v>
      </c>
      <c r="H260" s="25">
        <v>2</v>
      </c>
      <c r="I260" s="25">
        <v>3</v>
      </c>
      <c r="J260" s="25">
        <v>4</v>
      </c>
      <c r="K260" s="25">
        <v>5</v>
      </c>
      <c r="L260" s="25">
        <v>6</v>
      </c>
      <c r="M260" s="25">
        <v>7</v>
      </c>
      <c r="N260" s="25">
        <v>8</v>
      </c>
      <c r="O260" s="25">
        <v>9</v>
      </c>
      <c r="P260" s="24">
        <v>10</v>
      </c>
    </row>
    <row r="261" spans="2:17" x14ac:dyDescent="0.25">
      <c r="C261" s="254"/>
      <c r="D261" s="95">
        <v>2024</v>
      </c>
      <c r="E261" s="95">
        <v>2025</v>
      </c>
      <c r="F261" s="95">
        <v>2026</v>
      </c>
      <c r="G261" s="95">
        <v>2027</v>
      </c>
      <c r="H261" s="95">
        <v>2028</v>
      </c>
      <c r="I261" s="95">
        <v>2029</v>
      </c>
      <c r="J261" s="95">
        <v>2030</v>
      </c>
      <c r="K261" s="95">
        <v>2031</v>
      </c>
      <c r="L261" s="95">
        <v>2032</v>
      </c>
      <c r="M261" s="95">
        <v>2033</v>
      </c>
      <c r="N261" s="95">
        <v>2034</v>
      </c>
      <c r="O261" s="95">
        <v>2035</v>
      </c>
      <c r="P261" s="95">
        <v>2036</v>
      </c>
    </row>
    <row r="262" spans="2:17" x14ac:dyDescent="0.25">
      <c r="C262" s="28" t="s">
        <v>350</v>
      </c>
      <c r="D262" s="98">
        <f>+D263</f>
        <v>170.35199999999998</v>
      </c>
      <c r="E262" s="98">
        <f t="shared" ref="E262:P262" si="84">+E263</f>
        <v>170</v>
      </c>
      <c r="F262" s="98">
        <f t="shared" si="84"/>
        <v>170</v>
      </c>
      <c r="G262" s="106">
        <f t="shared" si="84"/>
        <v>171</v>
      </c>
      <c r="H262" s="106">
        <f t="shared" si="84"/>
        <v>171</v>
      </c>
      <c r="I262" s="106">
        <f t="shared" si="84"/>
        <v>171</v>
      </c>
      <c r="J262" s="106">
        <f t="shared" si="84"/>
        <v>171</v>
      </c>
      <c r="K262" s="106">
        <f t="shared" si="84"/>
        <v>171</v>
      </c>
      <c r="L262" s="106">
        <f t="shared" si="84"/>
        <v>171</v>
      </c>
      <c r="M262" s="106">
        <f t="shared" si="84"/>
        <v>171</v>
      </c>
      <c r="N262" s="106">
        <f t="shared" si="84"/>
        <v>171</v>
      </c>
      <c r="O262" s="106">
        <f t="shared" si="84"/>
        <v>171</v>
      </c>
      <c r="P262" s="106">
        <f t="shared" si="84"/>
        <v>171</v>
      </c>
    </row>
    <row r="263" spans="2:17" x14ac:dyDescent="0.25">
      <c r="C263" s="195" t="s">
        <v>392</v>
      </c>
      <c r="D263" s="94">
        <f>+'POBLACION DEMANDANTE EFECTIVA'!D154*E257</f>
        <v>170.35199999999998</v>
      </c>
      <c r="E263" s="94">
        <f t="shared" ref="E263:K263" si="85">ROUND(($D$263*(1+$A$9)^(E261-$D$261)),0)</f>
        <v>170</v>
      </c>
      <c r="F263" s="94">
        <f t="shared" si="85"/>
        <v>170</v>
      </c>
      <c r="G263" s="94">
        <f t="shared" si="85"/>
        <v>171</v>
      </c>
      <c r="H263" s="94">
        <f t="shared" si="85"/>
        <v>171</v>
      </c>
      <c r="I263" s="94">
        <f t="shared" si="85"/>
        <v>171</v>
      </c>
      <c r="J263" s="94">
        <f t="shared" si="85"/>
        <v>171</v>
      </c>
      <c r="K263" s="94">
        <f t="shared" si="85"/>
        <v>171</v>
      </c>
      <c r="L263" s="94">
        <f t="shared" ref="L263:P263" si="86">ROUND(($D$263*(1+$A$9)^(L261-$D$261)),0)</f>
        <v>171</v>
      </c>
      <c r="M263" s="94">
        <f t="shared" si="86"/>
        <v>171</v>
      </c>
      <c r="N263" s="94">
        <f t="shared" si="86"/>
        <v>171</v>
      </c>
      <c r="O263" s="94">
        <f t="shared" si="86"/>
        <v>171</v>
      </c>
      <c r="P263" s="94">
        <f t="shared" si="86"/>
        <v>171</v>
      </c>
    </row>
    <row r="264" spans="2:17" x14ac:dyDescent="0.25">
      <c r="B264" s="256"/>
      <c r="C264" s="257"/>
      <c r="D264" s="258"/>
      <c r="E264" s="258"/>
      <c r="F264" s="258"/>
      <c r="G264" s="258"/>
      <c r="H264" s="258"/>
      <c r="I264" s="258"/>
      <c r="J264" s="258"/>
      <c r="K264" s="258"/>
      <c r="L264" s="258"/>
      <c r="M264" s="258"/>
      <c r="N264" s="258"/>
      <c r="O264" s="258"/>
      <c r="P264" s="258"/>
    </row>
    <row r="265" spans="2:17" ht="15" customHeight="1" x14ac:dyDescent="0.25">
      <c r="B265" s="130"/>
      <c r="C265" s="267" t="s">
        <v>433</v>
      </c>
      <c r="D265" s="267"/>
      <c r="E265" s="267"/>
      <c r="F265" s="267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30"/>
    </row>
    <row r="266" spans="2:17" ht="76.5" customHeight="1" x14ac:dyDescent="0.25">
      <c r="B266" s="130"/>
      <c r="C266" s="20" t="s">
        <v>30</v>
      </c>
      <c r="D266" s="20" t="s">
        <v>31</v>
      </c>
      <c r="E266" s="239" t="s">
        <v>445</v>
      </c>
      <c r="F266" s="239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30"/>
    </row>
    <row r="267" spans="2:17" x14ac:dyDescent="0.25">
      <c r="B267" s="130"/>
      <c r="C267" s="28" t="s">
        <v>439</v>
      </c>
      <c r="D267" s="205" t="str">
        <f>+C274</f>
        <v xml:space="preserve">0 a 85 años a mas </v>
      </c>
      <c r="E267" s="274">
        <v>1</v>
      </c>
      <c r="F267" s="274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30"/>
    </row>
    <row r="268" spans="2:17" x14ac:dyDescent="0.25">
      <c r="B268" s="1"/>
      <c r="D268" s="256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</row>
    <row r="269" spans="2:17" x14ac:dyDescent="0.25">
      <c r="B269" s="1"/>
      <c r="D269" s="256"/>
      <c r="E269" s="258"/>
      <c r="F269" s="258"/>
      <c r="G269" s="258"/>
      <c r="H269" s="258"/>
      <c r="I269" s="258"/>
      <c r="J269" s="258"/>
      <c r="K269" s="258"/>
      <c r="L269" s="258"/>
      <c r="M269" s="258"/>
      <c r="N269" s="258"/>
      <c r="O269" s="258"/>
      <c r="P269" s="258"/>
    </row>
    <row r="270" spans="2:17" x14ac:dyDescent="0.25">
      <c r="C270" s="252" t="s">
        <v>222</v>
      </c>
      <c r="D270" s="249" t="s">
        <v>143</v>
      </c>
      <c r="E270" s="250"/>
      <c r="F270" s="251"/>
      <c r="G270" s="255" t="s">
        <v>39</v>
      </c>
      <c r="H270" s="255"/>
      <c r="I270" s="255"/>
      <c r="J270" s="255"/>
      <c r="K270" s="255"/>
      <c r="L270" s="255"/>
      <c r="M270" s="255"/>
      <c r="N270" s="255"/>
      <c r="O270" s="255"/>
      <c r="P270" s="255"/>
    </row>
    <row r="271" spans="2:17" x14ac:dyDescent="0.25">
      <c r="C271" s="253"/>
      <c r="D271" s="239">
        <v>0</v>
      </c>
      <c r="E271" s="239"/>
      <c r="F271" s="239"/>
      <c r="G271" s="24">
        <v>1</v>
      </c>
      <c r="H271" s="25">
        <v>2</v>
      </c>
      <c r="I271" s="25">
        <v>3</v>
      </c>
      <c r="J271" s="25">
        <v>4</v>
      </c>
      <c r="K271" s="25">
        <v>5</v>
      </c>
      <c r="L271" s="25">
        <v>6</v>
      </c>
      <c r="M271" s="25">
        <v>7</v>
      </c>
      <c r="N271" s="25">
        <v>8</v>
      </c>
      <c r="O271" s="25">
        <v>9</v>
      </c>
      <c r="P271" s="24">
        <v>10</v>
      </c>
    </row>
    <row r="272" spans="2:17" x14ac:dyDescent="0.25">
      <c r="C272" s="254"/>
      <c r="D272" s="95">
        <v>2024</v>
      </c>
      <c r="E272" s="95">
        <v>2025</v>
      </c>
      <c r="F272" s="95">
        <v>2026</v>
      </c>
      <c r="G272" s="95">
        <v>2027</v>
      </c>
      <c r="H272" s="95">
        <v>2028</v>
      </c>
      <c r="I272" s="95">
        <v>2029</v>
      </c>
      <c r="J272" s="95">
        <v>2030</v>
      </c>
      <c r="K272" s="95">
        <v>2031</v>
      </c>
      <c r="L272" s="95">
        <v>2032</v>
      </c>
      <c r="M272" s="95">
        <v>2033</v>
      </c>
      <c r="N272" s="95">
        <v>2034</v>
      </c>
      <c r="O272" s="95">
        <v>2035</v>
      </c>
      <c r="P272" s="95">
        <v>2036</v>
      </c>
    </row>
    <row r="273" spans="2:17" x14ac:dyDescent="0.25">
      <c r="C273" s="28" t="s">
        <v>405</v>
      </c>
      <c r="D273" s="98">
        <f>+D274</f>
        <v>170.35199999999998</v>
      </c>
      <c r="E273" s="98">
        <f t="shared" ref="E273:P273" si="87">+E274</f>
        <v>170</v>
      </c>
      <c r="F273" s="98">
        <f t="shared" si="87"/>
        <v>170</v>
      </c>
      <c r="G273" s="106">
        <f t="shared" si="87"/>
        <v>171</v>
      </c>
      <c r="H273" s="106">
        <f t="shared" si="87"/>
        <v>171</v>
      </c>
      <c r="I273" s="106">
        <f t="shared" si="87"/>
        <v>171</v>
      </c>
      <c r="J273" s="106">
        <f t="shared" si="87"/>
        <v>171</v>
      </c>
      <c r="K273" s="106">
        <f t="shared" si="87"/>
        <v>171</v>
      </c>
      <c r="L273" s="106">
        <f t="shared" si="87"/>
        <v>171</v>
      </c>
      <c r="M273" s="106">
        <f t="shared" si="87"/>
        <v>171</v>
      </c>
      <c r="N273" s="106">
        <f t="shared" si="87"/>
        <v>171</v>
      </c>
      <c r="O273" s="106">
        <f t="shared" si="87"/>
        <v>171</v>
      </c>
      <c r="P273" s="106">
        <f t="shared" si="87"/>
        <v>171</v>
      </c>
    </row>
    <row r="274" spans="2:17" x14ac:dyDescent="0.25">
      <c r="C274" s="195" t="s">
        <v>392</v>
      </c>
      <c r="D274" s="94">
        <f>+'POBLACION DEMANDANTE EFECTIVA'!D160*E267</f>
        <v>170.35199999999998</v>
      </c>
      <c r="E274" s="94">
        <f>ROUND(($D$274*(1+$A$9)^(E272-$D$272)),0)</f>
        <v>170</v>
      </c>
      <c r="F274" s="94">
        <f>ROUND(($D$274*(1+$A$9)^(F272-$D$272)),0)</f>
        <v>170</v>
      </c>
      <c r="G274" s="94">
        <f>ROUND(($D$274*(1+$A$9)^(G272-$D$272)),0)</f>
        <v>171</v>
      </c>
      <c r="H274" s="94">
        <f>ROUND(($D$274*(1+$A$9)^(H272-$D$272)),0)</f>
        <v>171</v>
      </c>
      <c r="I274" s="94">
        <f>ROUND(($D$274*(1+$A$9)^(I272-$D$272)),0)</f>
        <v>171</v>
      </c>
      <c r="J274" s="94">
        <f t="shared" ref="J274:P274" si="88">ROUND(($D$274*(1+$A$9)^(J272-$D$272)),0)</f>
        <v>171</v>
      </c>
      <c r="K274" s="94">
        <f t="shared" si="88"/>
        <v>171</v>
      </c>
      <c r="L274" s="94">
        <f t="shared" si="88"/>
        <v>171</v>
      </c>
      <c r="M274" s="94">
        <f t="shared" si="88"/>
        <v>171</v>
      </c>
      <c r="N274" s="94">
        <f t="shared" si="88"/>
        <v>171</v>
      </c>
      <c r="O274" s="94">
        <f t="shared" si="88"/>
        <v>171</v>
      </c>
      <c r="P274" s="94">
        <f t="shared" si="88"/>
        <v>171</v>
      </c>
    </row>
    <row r="275" spans="2:17" x14ac:dyDescent="0.25">
      <c r="B275" s="256"/>
      <c r="C275" s="257"/>
      <c r="D275" s="258"/>
      <c r="E275" s="258"/>
      <c r="F275" s="258"/>
      <c r="G275" s="258"/>
      <c r="H275" s="258"/>
      <c r="I275" s="258"/>
      <c r="J275" s="258"/>
      <c r="K275" s="258"/>
      <c r="L275" s="258"/>
      <c r="M275" s="258"/>
      <c r="N275" s="258"/>
      <c r="O275" s="258"/>
      <c r="P275" s="258"/>
    </row>
    <row r="276" spans="2:17" ht="15" customHeight="1" x14ac:dyDescent="0.25">
      <c r="B276" s="130"/>
      <c r="C276" s="284" t="s">
        <v>35</v>
      </c>
      <c r="D276" s="286"/>
      <c r="E276" s="286"/>
      <c r="F276" s="286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30"/>
    </row>
    <row r="277" spans="2:17" ht="76.5" customHeight="1" x14ac:dyDescent="0.25">
      <c r="B277" s="130"/>
      <c r="C277" s="20" t="s">
        <v>30</v>
      </c>
      <c r="D277" s="20" t="s">
        <v>31</v>
      </c>
      <c r="E277" s="239" t="s">
        <v>441</v>
      </c>
      <c r="F277" s="239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30"/>
    </row>
    <row r="278" spans="2:17" x14ac:dyDescent="0.25">
      <c r="B278" s="130"/>
      <c r="C278" s="28" t="s">
        <v>440</v>
      </c>
      <c r="D278" s="205" t="str">
        <f>+C284</f>
        <v xml:space="preserve">0 a 85 años a mas </v>
      </c>
      <c r="E278" s="274">
        <v>5</v>
      </c>
      <c r="F278" s="274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30"/>
    </row>
    <row r="279" spans="2:17" x14ac:dyDescent="0.25">
      <c r="B279" s="1"/>
      <c r="D279" s="256"/>
      <c r="E279" s="258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</row>
    <row r="280" spans="2:17" x14ac:dyDescent="0.25">
      <c r="C280" s="252" t="s">
        <v>222</v>
      </c>
      <c r="D280" s="249" t="s">
        <v>143</v>
      </c>
      <c r="E280" s="250"/>
      <c r="F280" s="251"/>
      <c r="G280" s="255" t="s">
        <v>39</v>
      </c>
      <c r="H280" s="255"/>
      <c r="I280" s="255"/>
      <c r="J280" s="255"/>
      <c r="K280" s="255"/>
      <c r="L280" s="255"/>
      <c r="M280" s="255"/>
      <c r="N280" s="255"/>
      <c r="O280" s="255"/>
      <c r="P280" s="255"/>
    </row>
    <row r="281" spans="2:17" x14ac:dyDescent="0.25">
      <c r="C281" s="253"/>
      <c r="D281" s="239">
        <v>0</v>
      </c>
      <c r="E281" s="239"/>
      <c r="F281" s="239"/>
      <c r="G281" s="24">
        <v>1</v>
      </c>
      <c r="H281" s="25">
        <v>2</v>
      </c>
      <c r="I281" s="25">
        <v>3</v>
      </c>
      <c r="J281" s="25">
        <v>4</v>
      </c>
      <c r="K281" s="25">
        <v>5</v>
      </c>
      <c r="L281" s="25">
        <v>6</v>
      </c>
      <c r="M281" s="25">
        <v>7</v>
      </c>
      <c r="N281" s="25">
        <v>8</v>
      </c>
      <c r="O281" s="25">
        <v>9</v>
      </c>
      <c r="P281" s="24">
        <v>10</v>
      </c>
    </row>
    <row r="282" spans="2:17" x14ac:dyDescent="0.25">
      <c r="C282" s="254"/>
      <c r="D282" s="95">
        <v>2024</v>
      </c>
      <c r="E282" s="95">
        <v>2025</v>
      </c>
      <c r="F282" s="95">
        <v>2026</v>
      </c>
      <c r="G282" s="95">
        <v>2027</v>
      </c>
      <c r="H282" s="95">
        <v>2028</v>
      </c>
      <c r="I282" s="95">
        <v>2029</v>
      </c>
      <c r="J282" s="95">
        <v>2030</v>
      </c>
      <c r="K282" s="95">
        <v>2031</v>
      </c>
      <c r="L282" s="95">
        <v>2032</v>
      </c>
      <c r="M282" s="95">
        <v>2033</v>
      </c>
      <c r="N282" s="95">
        <v>2034</v>
      </c>
      <c r="O282" s="95">
        <v>2035</v>
      </c>
      <c r="P282" s="95">
        <v>2036</v>
      </c>
    </row>
    <row r="283" spans="2:17" x14ac:dyDescent="0.25">
      <c r="C283" s="28" t="s">
        <v>404</v>
      </c>
      <c r="D283" s="98">
        <f>+D284</f>
        <v>851.75999999999988</v>
      </c>
      <c r="E283" s="98">
        <f t="shared" ref="E283:P283" si="89">+E284</f>
        <v>852</v>
      </c>
      <c r="F283" s="98">
        <f t="shared" si="89"/>
        <v>852</v>
      </c>
      <c r="G283" s="106">
        <f t="shared" si="89"/>
        <v>853</v>
      </c>
      <c r="H283" s="106">
        <f t="shared" si="89"/>
        <v>853</v>
      </c>
      <c r="I283" s="106">
        <f t="shared" si="89"/>
        <v>853</v>
      </c>
      <c r="J283" s="106">
        <f t="shared" si="89"/>
        <v>853</v>
      </c>
      <c r="K283" s="106">
        <f t="shared" si="89"/>
        <v>854</v>
      </c>
      <c r="L283" s="106">
        <f t="shared" si="89"/>
        <v>854</v>
      </c>
      <c r="M283" s="106">
        <f t="shared" si="89"/>
        <v>854</v>
      </c>
      <c r="N283" s="106">
        <f t="shared" si="89"/>
        <v>854</v>
      </c>
      <c r="O283" s="106">
        <f t="shared" si="89"/>
        <v>855</v>
      </c>
      <c r="P283" s="106">
        <f t="shared" si="89"/>
        <v>855</v>
      </c>
    </row>
    <row r="284" spans="2:17" x14ac:dyDescent="0.25">
      <c r="C284" s="195" t="s">
        <v>392</v>
      </c>
      <c r="D284" s="94">
        <f>+'POBLACION DEMANDANTE EFECTIVA'!D166*E278</f>
        <v>851.75999999999988</v>
      </c>
      <c r="E284" s="94">
        <f t="shared" ref="E284:N284" si="90">ROUND(($D$284*(1+$A$9)^(E282-$D$282)),0)</f>
        <v>852</v>
      </c>
      <c r="F284" s="94">
        <f t="shared" si="90"/>
        <v>852</v>
      </c>
      <c r="G284" s="94">
        <f t="shared" si="90"/>
        <v>853</v>
      </c>
      <c r="H284" s="94">
        <f t="shared" si="90"/>
        <v>853</v>
      </c>
      <c r="I284" s="94">
        <f t="shared" si="90"/>
        <v>853</v>
      </c>
      <c r="J284" s="94">
        <f t="shared" si="90"/>
        <v>853</v>
      </c>
      <c r="K284" s="94">
        <f t="shared" si="90"/>
        <v>854</v>
      </c>
      <c r="L284" s="94">
        <f t="shared" si="90"/>
        <v>854</v>
      </c>
      <c r="M284" s="94">
        <f t="shared" si="90"/>
        <v>854</v>
      </c>
      <c r="N284" s="94">
        <f t="shared" si="90"/>
        <v>854</v>
      </c>
      <c r="O284" s="94">
        <f t="shared" ref="O284:P284" si="91">ROUND(($D$284*(1+$A$9)^(O282-$D$282)),0)</f>
        <v>855</v>
      </c>
      <c r="P284" s="94">
        <f t="shared" si="91"/>
        <v>855</v>
      </c>
    </row>
    <row r="285" spans="2:17" x14ac:dyDescent="0.25">
      <c r="B285" s="256"/>
      <c r="C285" s="257"/>
      <c r="D285" s="258"/>
      <c r="E285" s="258"/>
      <c r="F285" s="258"/>
      <c r="G285" s="258"/>
      <c r="H285" s="258"/>
      <c r="I285" s="258"/>
      <c r="J285" s="258"/>
      <c r="K285" s="258"/>
      <c r="L285" s="258"/>
      <c r="M285" s="258"/>
      <c r="N285" s="258"/>
      <c r="O285" s="258"/>
      <c r="P285" s="258"/>
    </row>
    <row r="286" spans="2:17" ht="15" customHeight="1" x14ac:dyDescent="0.25">
      <c r="B286" s="130"/>
      <c r="C286" s="267" t="s">
        <v>484</v>
      </c>
      <c r="D286" s="267"/>
      <c r="E286" s="267"/>
      <c r="F286" s="267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30"/>
    </row>
    <row r="287" spans="2:17" ht="76.5" customHeight="1" x14ac:dyDescent="0.25">
      <c r="B287" s="130"/>
      <c r="C287" s="20" t="s">
        <v>30</v>
      </c>
      <c r="D287" s="20" t="s">
        <v>31</v>
      </c>
      <c r="E287" s="239" t="s">
        <v>443</v>
      </c>
      <c r="F287" s="239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30"/>
    </row>
    <row r="288" spans="2:17" x14ac:dyDescent="0.25">
      <c r="B288" s="130"/>
      <c r="C288" s="28" t="s">
        <v>442</v>
      </c>
      <c r="D288" s="205" t="str">
        <f>+C294</f>
        <v xml:space="preserve">0 a 85 años a mas </v>
      </c>
      <c r="E288" s="274">
        <v>2</v>
      </c>
      <c r="F288" s="274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30"/>
    </row>
    <row r="289" spans="2:17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2:17" x14ac:dyDescent="0.25">
      <c r="C290" s="252" t="s">
        <v>222</v>
      </c>
      <c r="D290" s="249" t="s">
        <v>143</v>
      </c>
      <c r="E290" s="250"/>
      <c r="F290" s="251"/>
      <c r="G290" s="255" t="s">
        <v>39</v>
      </c>
      <c r="H290" s="255"/>
      <c r="I290" s="255"/>
      <c r="J290" s="255"/>
      <c r="K290" s="255"/>
      <c r="L290" s="255"/>
      <c r="M290" s="255"/>
      <c r="N290" s="255"/>
      <c r="O290" s="255"/>
      <c r="P290" s="255"/>
    </row>
    <row r="291" spans="2:17" x14ac:dyDescent="0.25">
      <c r="C291" s="253"/>
      <c r="D291" s="239">
        <v>0</v>
      </c>
      <c r="E291" s="239"/>
      <c r="F291" s="239"/>
      <c r="G291" s="24">
        <v>1</v>
      </c>
      <c r="H291" s="25">
        <v>2</v>
      </c>
      <c r="I291" s="25">
        <v>3</v>
      </c>
      <c r="J291" s="25">
        <v>4</v>
      </c>
      <c r="K291" s="25">
        <v>5</v>
      </c>
      <c r="L291" s="25">
        <v>6</v>
      </c>
      <c r="M291" s="25">
        <v>7</v>
      </c>
      <c r="N291" s="25">
        <v>8</v>
      </c>
      <c r="O291" s="25">
        <v>9</v>
      </c>
      <c r="P291" s="24">
        <v>10</v>
      </c>
    </row>
    <row r="292" spans="2:17" x14ac:dyDescent="0.25">
      <c r="C292" s="254"/>
      <c r="D292" s="95">
        <v>2024</v>
      </c>
      <c r="E292" s="95">
        <v>2025</v>
      </c>
      <c r="F292" s="95">
        <v>2026</v>
      </c>
      <c r="G292" s="95">
        <v>2027</v>
      </c>
      <c r="H292" s="95">
        <v>2028</v>
      </c>
      <c r="I292" s="95">
        <v>2029</v>
      </c>
      <c r="J292" s="95">
        <v>2030</v>
      </c>
      <c r="K292" s="95">
        <v>2031</v>
      </c>
      <c r="L292" s="95">
        <v>2032</v>
      </c>
      <c r="M292" s="95">
        <v>2033</v>
      </c>
      <c r="N292" s="95">
        <v>2034</v>
      </c>
      <c r="O292" s="95">
        <v>2035</v>
      </c>
      <c r="P292" s="95">
        <v>2036</v>
      </c>
    </row>
    <row r="293" spans="2:17" x14ac:dyDescent="0.25">
      <c r="C293" s="28" t="s">
        <v>403</v>
      </c>
      <c r="D293" s="98">
        <f>+D294</f>
        <v>340.70399999999995</v>
      </c>
      <c r="E293" s="98">
        <f t="shared" ref="E293:P293" si="92">+E294</f>
        <v>341</v>
      </c>
      <c r="F293" s="98">
        <f t="shared" si="92"/>
        <v>341</v>
      </c>
      <c r="G293" s="106">
        <f t="shared" si="92"/>
        <v>341</v>
      </c>
      <c r="H293" s="106">
        <f t="shared" si="92"/>
        <v>341</v>
      </c>
      <c r="I293" s="106">
        <f t="shared" si="92"/>
        <v>341</v>
      </c>
      <c r="J293" s="106">
        <f t="shared" si="92"/>
        <v>341</v>
      </c>
      <c r="K293" s="106">
        <f t="shared" si="92"/>
        <v>341</v>
      </c>
      <c r="L293" s="106">
        <f t="shared" si="92"/>
        <v>342</v>
      </c>
      <c r="M293" s="106">
        <f t="shared" si="92"/>
        <v>342</v>
      </c>
      <c r="N293" s="106">
        <f t="shared" si="92"/>
        <v>342</v>
      </c>
      <c r="O293" s="106">
        <f t="shared" si="92"/>
        <v>342</v>
      </c>
      <c r="P293" s="106">
        <f t="shared" si="92"/>
        <v>342</v>
      </c>
    </row>
    <row r="294" spans="2:17" x14ac:dyDescent="0.25">
      <c r="C294" s="195" t="s">
        <v>392</v>
      </c>
      <c r="D294" s="94">
        <f>+'POBLACION DEMANDANTE EFECTIVA'!D172*E288</f>
        <v>340.70399999999995</v>
      </c>
      <c r="E294" s="94">
        <f>ROUND(($D$294*(1+$A$9)^(E292-$D$292)),0)</f>
        <v>341</v>
      </c>
      <c r="F294" s="94">
        <f t="shared" ref="F294:P294" si="93">ROUND(($D$294*(1+$A$9)^(F292-$D$292)),0)</f>
        <v>341</v>
      </c>
      <c r="G294" s="94">
        <f t="shared" si="93"/>
        <v>341</v>
      </c>
      <c r="H294" s="94">
        <f t="shared" si="93"/>
        <v>341</v>
      </c>
      <c r="I294" s="94">
        <f t="shared" si="93"/>
        <v>341</v>
      </c>
      <c r="J294" s="94">
        <f t="shared" si="93"/>
        <v>341</v>
      </c>
      <c r="K294" s="94">
        <f t="shared" si="93"/>
        <v>341</v>
      </c>
      <c r="L294" s="94">
        <f t="shared" si="93"/>
        <v>342</v>
      </c>
      <c r="M294" s="94">
        <f t="shared" si="93"/>
        <v>342</v>
      </c>
      <c r="N294" s="94">
        <f t="shared" si="93"/>
        <v>342</v>
      </c>
      <c r="O294" s="94">
        <f t="shared" si="93"/>
        <v>342</v>
      </c>
      <c r="P294" s="94">
        <f t="shared" si="93"/>
        <v>342</v>
      </c>
    </row>
    <row r="295" spans="2:17" x14ac:dyDescent="0.25">
      <c r="B295" s="256"/>
      <c r="C295" s="257"/>
      <c r="D295" s="258"/>
      <c r="E295" s="258"/>
      <c r="F295" s="258"/>
      <c r="G295" s="258"/>
      <c r="H295" s="258"/>
      <c r="I295" s="258"/>
      <c r="J295" s="258"/>
      <c r="K295" s="258"/>
      <c r="L295" s="258"/>
      <c r="M295" s="258"/>
      <c r="N295" s="258"/>
      <c r="O295" s="258"/>
      <c r="P295" s="258"/>
    </row>
    <row r="296" spans="2:17" ht="15" customHeight="1" x14ac:dyDescent="0.25">
      <c r="B296" s="130"/>
      <c r="C296" s="267" t="s">
        <v>433</v>
      </c>
      <c r="D296" s="267"/>
      <c r="E296" s="267"/>
      <c r="F296" s="267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30"/>
    </row>
    <row r="297" spans="2:17" ht="76.5" customHeight="1" x14ac:dyDescent="0.25">
      <c r="B297" s="130"/>
      <c r="C297" s="20" t="s">
        <v>30</v>
      </c>
      <c r="D297" s="20" t="s">
        <v>31</v>
      </c>
      <c r="E297" s="239" t="s">
        <v>443</v>
      </c>
      <c r="F297" s="239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30"/>
    </row>
    <row r="298" spans="2:17" x14ac:dyDescent="0.25">
      <c r="B298" s="130"/>
      <c r="C298" s="28" t="str">
        <f>+C303</f>
        <v>RADIOGRAFIA</v>
      </c>
      <c r="D298" s="205" t="str">
        <f>+C304</f>
        <v xml:space="preserve">0 a 85 años a mas </v>
      </c>
      <c r="E298" s="274">
        <v>2</v>
      </c>
      <c r="F298" s="274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30"/>
    </row>
    <row r="299" spans="2:17" x14ac:dyDescent="0.25">
      <c r="C299" s="256"/>
      <c r="D299" s="257"/>
      <c r="E299" s="258"/>
      <c r="F299" s="258"/>
      <c r="G299" s="258"/>
      <c r="H299" s="258"/>
      <c r="I299" s="258"/>
      <c r="J299" s="258"/>
      <c r="K299" s="258"/>
      <c r="L299" s="258"/>
      <c r="M299" s="258"/>
      <c r="N299" s="258"/>
      <c r="O299" s="258"/>
      <c r="P299" s="258"/>
      <c r="Q299" s="258"/>
    </row>
    <row r="300" spans="2:17" x14ac:dyDescent="0.25">
      <c r="C300" s="252" t="s">
        <v>222</v>
      </c>
      <c r="D300" s="249" t="s">
        <v>143</v>
      </c>
      <c r="E300" s="250"/>
      <c r="F300" s="251"/>
      <c r="G300" s="255" t="s">
        <v>39</v>
      </c>
      <c r="H300" s="255"/>
      <c r="I300" s="255"/>
      <c r="J300" s="255"/>
      <c r="K300" s="255"/>
      <c r="L300" s="255"/>
      <c r="M300" s="255"/>
      <c r="N300" s="255"/>
      <c r="O300" s="255"/>
      <c r="P300" s="255"/>
    </row>
    <row r="301" spans="2:17" x14ac:dyDescent="0.25">
      <c r="C301" s="253"/>
      <c r="D301" s="239">
        <v>0</v>
      </c>
      <c r="E301" s="239"/>
      <c r="F301" s="239"/>
      <c r="G301" s="24">
        <v>1</v>
      </c>
      <c r="H301" s="25">
        <v>2</v>
      </c>
      <c r="I301" s="25">
        <v>3</v>
      </c>
      <c r="J301" s="25">
        <v>4</v>
      </c>
      <c r="K301" s="25">
        <v>5</v>
      </c>
      <c r="L301" s="25">
        <v>6</v>
      </c>
      <c r="M301" s="25">
        <v>7</v>
      </c>
      <c r="N301" s="25">
        <v>8</v>
      </c>
      <c r="O301" s="25">
        <v>9</v>
      </c>
      <c r="P301" s="24">
        <v>10</v>
      </c>
    </row>
    <row r="302" spans="2:17" x14ac:dyDescent="0.25">
      <c r="C302" s="254"/>
      <c r="D302" s="95">
        <v>2024</v>
      </c>
      <c r="E302" s="95">
        <v>2025</v>
      </c>
      <c r="F302" s="95">
        <v>2026</v>
      </c>
      <c r="G302" s="95">
        <v>2027</v>
      </c>
      <c r="H302" s="95">
        <v>2028</v>
      </c>
      <c r="I302" s="95">
        <v>2029</v>
      </c>
      <c r="J302" s="95">
        <v>2030</v>
      </c>
      <c r="K302" s="95">
        <v>2031</v>
      </c>
      <c r="L302" s="95">
        <v>2032</v>
      </c>
      <c r="M302" s="95">
        <v>2033</v>
      </c>
      <c r="N302" s="95">
        <v>2034</v>
      </c>
      <c r="O302" s="95">
        <v>2035</v>
      </c>
      <c r="P302" s="95">
        <v>2036</v>
      </c>
    </row>
    <row r="303" spans="2:17" x14ac:dyDescent="0.25">
      <c r="C303" s="28" t="s">
        <v>402</v>
      </c>
      <c r="D303" s="98">
        <f>+D304</f>
        <v>340.70399999999995</v>
      </c>
      <c r="E303" s="98">
        <f t="shared" ref="E303:P303" si="94">+E304</f>
        <v>341</v>
      </c>
      <c r="F303" s="98">
        <f t="shared" si="94"/>
        <v>341</v>
      </c>
      <c r="G303" s="106">
        <f t="shared" si="94"/>
        <v>341</v>
      </c>
      <c r="H303" s="106">
        <f t="shared" si="94"/>
        <v>341</v>
      </c>
      <c r="I303" s="106">
        <f t="shared" si="94"/>
        <v>341</v>
      </c>
      <c r="J303" s="106">
        <f t="shared" si="94"/>
        <v>341</v>
      </c>
      <c r="K303" s="106">
        <f t="shared" si="94"/>
        <v>341</v>
      </c>
      <c r="L303" s="106">
        <f t="shared" si="94"/>
        <v>342</v>
      </c>
      <c r="M303" s="106">
        <f t="shared" si="94"/>
        <v>342</v>
      </c>
      <c r="N303" s="106">
        <f t="shared" si="94"/>
        <v>342</v>
      </c>
      <c r="O303" s="106">
        <f t="shared" si="94"/>
        <v>342</v>
      </c>
      <c r="P303" s="106">
        <f t="shared" si="94"/>
        <v>342</v>
      </c>
    </row>
    <row r="304" spans="2:17" x14ac:dyDescent="0.25">
      <c r="C304" s="195" t="s">
        <v>392</v>
      </c>
      <c r="D304" s="94">
        <f>+'POBLACION DEMANDANTE EFECTIVA'!D178*E298</f>
        <v>340.70399999999995</v>
      </c>
      <c r="E304" s="94">
        <f t="shared" ref="E304:P304" si="95">ROUND(($D$304*(1+$A$9)^(E302-$D$302)),0)</f>
        <v>341</v>
      </c>
      <c r="F304" s="94">
        <f t="shared" si="95"/>
        <v>341</v>
      </c>
      <c r="G304" s="94">
        <f t="shared" si="95"/>
        <v>341</v>
      </c>
      <c r="H304" s="94">
        <f t="shared" si="95"/>
        <v>341</v>
      </c>
      <c r="I304" s="94">
        <f t="shared" si="95"/>
        <v>341</v>
      </c>
      <c r="J304" s="94">
        <f t="shared" si="95"/>
        <v>341</v>
      </c>
      <c r="K304" s="94">
        <f t="shared" si="95"/>
        <v>341</v>
      </c>
      <c r="L304" s="94">
        <f t="shared" si="95"/>
        <v>342</v>
      </c>
      <c r="M304" s="94">
        <f t="shared" si="95"/>
        <v>342</v>
      </c>
      <c r="N304" s="94">
        <f t="shared" si="95"/>
        <v>342</v>
      </c>
      <c r="O304" s="94">
        <f t="shared" si="95"/>
        <v>342</v>
      </c>
      <c r="P304" s="94">
        <f t="shared" si="95"/>
        <v>342</v>
      </c>
    </row>
    <row r="305" spans="1:17" x14ac:dyDescent="0.25">
      <c r="C305" s="256"/>
      <c r="D305" s="257"/>
      <c r="E305" s="258"/>
      <c r="F305" s="258"/>
      <c r="G305" s="258"/>
      <c r="H305" s="258"/>
      <c r="I305" s="258"/>
      <c r="J305" s="258"/>
      <c r="K305" s="258"/>
      <c r="L305" s="258"/>
      <c r="M305" s="258"/>
      <c r="N305" s="258"/>
      <c r="O305" s="258"/>
      <c r="P305" s="258"/>
      <c r="Q305" s="258"/>
    </row>
    <row r="306" spans="1:17" ht="15" customHeight="1" x14ac:dyDescent="0.25">
      <c r="B306" s="130"/>
      <c r="C306" s="267" t="s">
        <v>35</v>
      </c>
      <c r="D306" s="267"/>
      <c r="E306" s="267"/>
      <c r="F306" s="267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30"/>
    </row>
    <row r="307" spans="1:17" ht="76.5" customHeight="1" x14ac:dyDescent="0.25">
      <c r="B307" s="130"/>
      <c r="C307" s="20" t="s">
        <v>30</v>
      </c>
      <c r="D307" s="20" t="s">
        <v>31</v>
      </c>
      <c r="E307" s="239" t="s">
        <v>40</v>
      </c>
      <c r="F307" s="239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30"/>
    </row>
    <row r="308" spans="1:17" x14ac:dyDescent="0.25">
      <c r="B308" s="130"/>
      <c r="C308" s="28" t="s">
        <v>444</v>
      </c>
      <c r="D308" s="205" t="e">
        <f>+#REF!</f>
        <v>#REF!</v>
      </c>
      <c r="E308" s="239">
        <v>4</v>
      </c>
      <c r="F308" s="239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30"/>
    </row>
    <row r="309" spans="1:17" x14ac:dyDescent="0.25">
      <c r="C309" s="256"/>
      <c r="D309" s="257"/>
      <c r="E309" s="258"/>
      <c r="F309" s="258"/>
      <c r="G309" s="258"/>
      <c r="H309" s="258"/>
      <c r="I309" s="258"/>
      <c r="J309" s="258"/>
      <c r="K309" s="258"/>
      <c r="L309" s="258"/>
      <c r="M309" s="258"/>
      <c r="N309" s="258"/>
      <c r="O309" s="258"/>
      <c r="P309" s="258"/>
      <c r="Q309" s="258"/>
    </row>
    <row r="310" spans="1:17" x14ac:dyDescent="0.25">
      <c r="A310" s="129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30"/>
      <c r="O310" s="130"/>
      <c r="P310" s="130"/>
    </row>
    <row r="311" spans="1:17" x14ac:dyDescent="0.25">
      <c r="A311" s="129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30"/>
      <c r="O311" s="130"/>
      <c r="P311" s="130"/>
    </row>
  </sheetData>
  <mergeCells count="234">
    <mergeCell ref="C305:Q305"/>
    <mergeCell ref="C309:Q309"/>
    <mergeCell ref="C85:C90"/>
    <mergeCell ref="D213:Q213"/>
    <mergeCell ref="C207:C212"/>
    <mergeCell ref="C195:C196"/>
    <mergeCell ref="B285:P285"/>
    <mergeCell ref="C290:C292"/>
    <mergeCell ref="D290:F290"/>
    <mergeCell ref="B224:Q224"/>
    <mergeCell ref="C172:C174"/>
    <mergeCell ref="D172:F172"/>
    <mergeCell ref="G172:P172"/>
    <mergeCell ref="D173:F173"/>
    <mergeCell ref="B182:Q182"/>
    <mergeCell ref="C187:C189"/>
    <mergeCell ref="D187:F187"/>
    <mergeCell ref="G187:P187"/>
    <mergeCell ref="D188:F188"/>
    <mergeCell ref="B122:R122"/>
    <mergeCell ref="C132:C134"/>
    <mergeCell ref="G290:P290"/>
    <mergeCell ref="D291:F291"/>
    <mergeCell ref="B295:P295"/>
    <mergeCell ref="C300:C302"/>
    <mergeCell ref="D300:F300"/>
    <mergeCell ref="G300:P300"/>
    <mergeCell ref="D301:F301"/>
    <mergeCell ref="C299:Q299"/>
    <mergeCell ref="C286:F286"/>
    <mergeCell ref="E287:F287"/>
    <mergeCell ref="E288:F288"/>
    <mergeCell ref="C296:F296"/>
    <mergeCell ref="E297:F297"/>
    <mergeCell ref="E298:F298"/>
    <mergeCell ref="B264:P264"/>
    <mergeCell ref="C270:C272"/>
    <mergeCell ref="D270:F270"/>
    <mergeCell ref="G270:P270"/>
    <mergeCell ref="D271:F271"/>
    <mergeCell ref="B275:P275"/>
    <mergeCell ref="C280:C282"/>
    <mergeCell ref="D280:F280"/>
    <mergeCell ref="G280:P280"/>
    <mergeCell ref="D281:F281"/>
    <mergeCell ref="D268:P268"/>
    <mergeCell ref="D269:P269"/>
    <mergeCell ref="D279:P279"/>
    <mergeCell ref="C265:F265"/>
    <mergeCell ref="E266:F266"/>
    <mergeCell ref="E267:F267"/>
    <mergeCell ref="C276:F276"/>
    <mergeCell ref="E277:F277"/>
    <mergeCell ref="E278:F278"/>
    <mergeCell ref="D250:F250"/>
    <mergeCell ref="C259:C261"/>
    <mergeCell ref="D259:F259"/>
    <mergeCell ref="G259:P259"/>
    <mergeCell ref="D260:F260"/>
    <mergeCell ref="D248:Q248"/>
    <mergeCell ref="C254:Q254"/>
    <mergeCell ref="C245:F245"/>
    <mergeCell ref="E246:F246"/>
    <mergeCell ref="E247:F247"/>
    <mergeCell ref="C255:F255"/>
    <mergeCell ref="E256:F256"/>
    <mergeCell ref="E257:F257"/>
    <mergeCell ref="G198:P198"/>
    <mergeCell ref="D199:F199"/>
    <mergeCell ref="C214:C216"/>
    <mergeCell ref="D214:F214"/>
    <mergeCell ref="G214:P214"/>
    <mergeCell ref="D215:F215"/>
    <mergeCell ref="C204:P204"/>
    <mergeCell ref="E227:F227"/>
    <mergeCell ref="C235:F235"/>
    <mergeCell ref="C229:C231"/>
    <mergeCell ref="D229:F229"/>
    <mergeCell ref="G229:P229"/>
    <mergeCell ref="D230:F230"/>
    <mergeCell ref="G152:P152"/>
    <mergeCell ref="D153:F153"/>
    <mergeCell ref="C92:C94"/>
    <mergeCell ref="D92:F92"/>
    <mergeCell ref="G92:P92"/>
    <mergeCell ref="D93:F93"/>
    <mergeCell ref="B102:P102"/>
    <mergeCell ref="C112:C114"/>
    <mergeCell ref="D112:F112"/>
    <mergeCell ref="G112:P112"/>
    <mergeCell ref="D113:F113"/>
    <mergeCell ref="C105:C110"/>
    <mergeCell ref="C125:C130"/>
    <mergeCell ref="E105:F105"/>
    <mergeCell ref="E106:F106"/>
    <mergeCell ref="E107:F107"/>
    <mergeCell ref="E65:F65"/>
    <mergeCell ref="E66:F66"/>
    <mergeCell ref="E67:F67"/>
    <mergeCell ref="E68:F68"/>
    <mergeCell ref="E69:F69"/>
    <mergeCell ref="E70:F70"/>
    <mergeCell ref="D132:F132"/>
    <mergeCell ref="G132:P132"/>
    <mergeCell ref="D133:F133"/>
    <mergeCell ref="B1:M1"/>
    <mergeCell ref="C17:C19"/>
    <mergeCell ref="D17:F17"/>
    <mergeCell ref="G17:P17"/>
    <mergeCell ref="D18:F18"/>
    <mergeCell ref="C33:C35"/>
    <mergeCell ref="D33:F33"/>
    <mergeCell ref="E14:F14"/>
    <mergeCell ref="E15:F15"/>
    <mergeCell ref="E24:F24"/>
    <mergeCell ref="C13:F13"/>
    <mergeCell ref="C7:C9"/>
    <mergeCell ref="D7:F7"/>
    <mergeCell ref="G7:P7"/>
    <mergeCell ref="D8:F8"/>
    <mergeCell ref="G33:P33"/>
    <mergeCell ref="D34:F34"/>
    <mergeCell ref="I23:L23"/>
    <mergeCell ref="C25:C31"/>
    <mergeCell ref="J28:K28"/>
    <mergeCell ref="I13:L13"/>
    <mergeCell ref="C3:F3"/>
    <mergeCell ref="I3:L3"/>
    <mergeCell ref="E4:F4"/>
    <mergeCell ref="E5:F5"/>
    <mergeCell ref="C165:C170"/>
    <mergeCell ref="C47:C51"/>
    <mergeCell ref="C65:C70"/>
    <mergeCell ref="C145:C150"/>
    <mergeCell ref="E46:F46"/>
    <mergeCell ref="E47:F47"/>
    <mergeCell ref="E48:F48"/>
    <mergeCell ref="E49:F49"/>
    <mergeCell ref="E50:F50"/>
    <mergeCell ref="E51:F51"/>
    <mergeCell ref="C63:F63"/>
    <mergeCell ref="E64:F64"/>
    <mergeCell ref="C53:C55"/>
    <mergeCell ref="D53:F53"/>
    <mergeCell ref="G53:P53"/>
    <mergeCell ref="D54:F54"/>
    <mergeCell ref="C72:C74"/>
    <mergeCell ref="D72:F72"/>
    <mergeCell ref="G72:P72"/>
    <mergeCell ref="D73:F73"/>
    <mergeCell ref="E25:F25"/>
    <mergeCell ref="E26:F26"/>
    <mergeCell ref="E27:F27"/>
    <mergeCell ref="E28:F28"/>
    <mergeCell ref="E29:F29"/>
    <mergeCell ref="E30:F30"/>
    <mergeCell ref="E31:F31"/>
    <mergeCell ref="C23:F23"/>
    <mergeCell ref="C45:F45"/>
    <mergeCell ref="C83:F83"/>
    <mergeCell ref="E84:F84"/>
    <mergeCell ref="E85:F85"/>
    <mergeCell ref="E86:F86"/>
    <mergeCell ref="E87:F87"/>
    <mergeCell ref="E88:F88"/>
    <mergeCell ref="E89:F89"/>
    <mergeCell ref="E90:F90"/>
    <mergeCell ref="E104:F104"/>
    <mergeCell ref="C103:F103"/>
    <mergeCell ref="E108:F108"/>
    <mergeCell ref="E109:F109"/>
    <mergeCell ref="E110:F110"/>
    <mergeCell ref="C123:F123"/>
    <mergeCell ref="E124:F124"/>
    <mergeCell ref="E125:F125"/>
    <mergeCell ref="E126:F126"/>
    <mergeCell ref="E127:F127"/>
    <mergeCell ref="E128:F128"/>
    <mergeCell ref="E129:F129"/>
    <mergeCell ref="E130:F130"/>
    <mergeCell ref="C143:F143"/>
    <mergeCell ref="E144:F144"/>
    <mergeCell ref="E145:F145"/>
    <mergeCell ref="E146:F146"/>
    <mergeCell ref="E147:F147"/>
    <mergeCell ref="E148:F148"/>
    <mergeCell ref="E149:F149"/>
    <mergeCell ref="B142:R142"/>
    <mergeCell ref="E150:F150"/>
    <mergeCell ref="C163:F163"/>
    <mergeCell ref="E164:F164"/>
    <mergeCell ref="E165:F165"/>
    <mergeCell ref="E166:F166"/>
    <mergeCell ref="E167:F167"/>
    <mergeCell ref="E168:F168"/>
    <mergeCell ref="E169:F169"/>
    <mergeCell ref="E170:F170"/>
    <mergeCell ref="C152:C154"/>
    <mergeCell ref="D152:F152"/>
    <mergeCell ref="C183:F183"/>
    <mergeCell ref="E184:F184"/>
    <mergeCell ref="E185:F185"/>
    <mergeCell ref="C193:F193"/>
    <mergeCell ref="E194:F194"/>
    <mergeCell ref="E195:F195"/>
    <mergeCell ref="E196:F196"/>
    <mergeCell ref="C225:F225"/>
    <mergeCell ref="E226:F226"/>
    <mergeCell ref="C198:C200"/>
    <mergeCell ref="D198:F198"/>
    <mergeCell ref="C306:F306"/>
    <mergeCell ref="E307:F307"/>
    <mergeCell ref="E308:F308"/>
    <mergeCell ref="C205:F205"/>
    <mergeCell ref="E206:F206"/>
    <mergeCell ref="E207:F207"/>
    <mergeCell ref="E208:F208"/>
    <mergeCell ref="E209:F209"/>
    <mergeCell ref="E210:F210"/>
    <mergeCell ref="E211:F211"/>
    <mergeCell ref="E212:F212"/>
    <mergeCell ref="D228:Q228"/>
    <mergeCell ref="C234:Q234"/>
    <mergeCell ref="G238:Q238"/>
    <mergeCell ref="E236:F236"/>
    <mergeCell ref="E237:F237"/>
    <mergeCell ref="C239:C241"/>
    <mergeCell ref="D239:F239"/>
    <mergeCell ref="G239:P239"/>
    <mergeCell ref="D240:F240"/>
    <mergeCell ref="B244:P244"/>
    <mergeCell ref="C249:C251"/>
    <mergeCell ref="D249:F249"/>
    <mergeCell ref="G249:P2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28"/>
  <sheetViews>
    <sheetView topLeftCell="A274" zoomScale="73" zoomScaleNormal="73" workbookViewId="0">
      <selection activeCell="D297" sqref="D297"/>
    </sheetView>
  </sheetViews>
  <sheetFormatPr baseColWidth="10" defaultRowHeight="15" x14ac:dyDescent="0.25"/>
  <cols>
    <col min="3" max="3" width="28.5703125" customWidth="1"/>
    <col min="4" max="4" width="18" customWidth="1"/>
    <col min="6" max="6" width="12.5703125" customWidth="1"/>
  </cols>
  <sheetData>
    <row r="1" spans="1:16" x14ac:dyDescent="0.25">
      <c r="N1" s="130"/>
      <c r="O1" s="130"/>
      <c r="P1" s="130"/>
    </row>
    <row r="2" spans="1:16" x14ac:dyDescent="0.25"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0"/>
      <c r="O2" s="130"/>
      <c r="P2" s="130"/>
    </row>
    <row r="3" spans="1:16" x14ac:dyDescent="0.25">
      <c r="C3" s="275" t="s">
        <v>433</v>
      </c>
      <c r="D3" s="276"/>
      <c r="E3" s="276"/>
      <c r="F3" s="276"/>
      <c r="G3" s="130"/>
      <c r="H3" s="130"/>
      <c r="I3" s="227"/>
      <c r="J3" s="227"/>
      <c r="K3" s="227"/>
      <c r="L3" s="227"/>
      <c r="M3" s="130"/>
      <c r="N3" s="130"/>
      <c r="O3" s="130"/>
      <c r="P3" s="130"/>
    </row>
    <row r="4" spans="1:16" ht="42" customHeight="1" x14ac:dyDescent="0.25">
      <c r="C4" s="20" t="s">
        <v>30</v>
      </c>
      <c r="D4" s="20" t="s">
        <v>31</v>
      </c>
      <c r="E4" s="249" t="s">
        <v>448</v>
      </c>
      <c r="F4" s="251"/>
      <c r="G4" s="130"/>
      <c r="H4" s="130"/>
      <c r="I4" s="130"/>
      <c r="J4" s="13"/>
      <c r="K4" s="13"/>
      <c r="L4" s="130"/>
      <c r="M4" s="130"/>
      <c r="N4" s="130"/>
      <c r="O4" s="130"/>
      <c r="P4" s="130"/>
    </row>
    <row r="5" spans="1:16" x14ac:dyDescent="0.25">
      <c r="C5" s="28" t="s">
        <v>434</v>
      </c>
      <c r="D5" s="204" t="str">
        <f>+C11</f>
        <v xml:space="preserve"> 0 a 85 años a mas</v>
      </c>
      <c r="E5" s="278">
        <v>3</v>
      </c>
      <c r="F5" s="279"/>
      <c r="G5" s="130"/>
      <c r="H5" s="130"/>
      <c r="I5" s="130"/>
      <c r="J5" s="13"/>
      <c r="K5" s="13"/>
      <c r="L5" s="130"/>
      <c r="M5" s="130"/>
      <c r="N5" s="130"/>
      <c r="O5" s="130"/>
      <c r="P5" s="130"/>
    </row>
    <row r="6" spans="1:16" x14ac:dyDescent="0.25"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30"/>
      <c r="O6" s="130"/>
      <c r="P6" s="130"/>
    </row>
    <row r="7" spans="1:16" x14ac:dyDescent="0.25">
      <c r="C7" s="252" t="s">
        <v>38</v>
      </c>
      <c r="D7" s="249" t="s">
        <v>143</v>
      </c>
      <c r="E7" s="250"/>
      <c r="F7" s="251"/>
      <c r="G7" s="255" t="s">
        <v>39</v>
      </c>
      <c r="H7" s="255"/>
      <c r="I7" s="255"/>
      <c r="J7" s="255"/>
      <c r="K7" s="255"/>
      <c r="L7" s="255"/>
      <c r="M7" s="255"/>
      <c r="N7" s="255"/>
      <c r="O7" s="255"/>
      <c r="P7" s="255"/>
    </row>
    <row r="8" spans="1:16" x14ac:dyDescent="0.25">
      <c r="C8" s="253"/>
      <c r="D8" s="239">
        <v>0</v>
      </c>
      <c r="E8" s="239"/>
      <c r="F8" s="239"/>
      <c r="G8" s="24">
        <v>1</v>
      </c>
      <c r="H8" s="25">
        <v>2</v>
      </c>
      <c r="I8" s="25">
        <v>3</v>
      </c>
      <c r="J8" s="25">
        <v>4</v>
      </c>
      <c r="K8" s="25">
        <v>5</v>
      </c>
      <c r="L8" s="25">
        <v>6</v>
      </c>
      <c r="M8" s="25">
        <v>7</v>
      </c>
      <c r="N8" s="25">
        <v>8</v>
      </c>
      <c r="O8" s="25">
        <v>9</v>
      </c>
      <c r="P8" s="24">
        <v>10</v>
      </c>
    </row>
    <row r="9" spans="1:16" x14ac:dyDescent="0.25">
      <c r="A9">
        <f>+Hoja1!D17</f>
        <v>2.9999999999999997E-4</v>
      </c>
      <c r="C9" s="254"/>
      <c r="D9" s="95">
        <v>2024</v>
      </c>
      <c r="E9" s="95">
        <v>2025</v>
      </c>
      <c r="F9" s="95">
        <v>2026</v>
      </c>
      <c r="G9" s="95">
        <v>2027</v>
      </c>
      <c r="H9" s="95">
        <v>2028</v>
      </c>
      <c r="I9" s="95">
        <v>2029</v>
      </c>
      <c r="J9" s="95">
        <v>2030</v>
      </c>
      <c r="K9" s="95">
        <v>2031</v>
      </c>
      <c r="L9" s="95">
        <v>2032</v>
      </c>
      <c r="M9" s="95">
        <v>2033</v>
      </c>
      <c r="N9" s="95">
        <v>2034</v>
      </c>
      <c r="O9" s="95">
        <v>2035</v>
      </c>
      <c r="P9" s="95">
        <v>2036</v>
      </c>
    </row>
    <row r="10" spans="1:16" x14ac:dyDescent="0.25">
      <c r="C10" s="28" t="s">
        <v>347</v>
      </c>
      <c r="D10" s="116">
        <f>+D11</f>
        <v>511.05599999999993</v>
      </c>
      <c r="E10" s="116">
        <f t="shared" ref="E10:P10" si="0">+E11</f>
        <v>511</v>
      </c>
      <c r="F10" s="116">
        <f t="shared" si="0"/>
        <v>511</v>
      </c>
      <c r="G10" s="116">
        <f t="shared" si="0"/>
        <v>512</v>
      </c>
      <c r="H10" s="116">
        <f t="shared" si="0"/>
        <v>512</v>
      </c>
      <c r="I10" s="116">
        <f t="shared" si="0"/>
        <v>512</v>
      </c>
      <c r="J10" s="116">
        <f t="shared" si="0"/>
        <v>512</v>
      </c>
      <c r="K10" s="116">
        <f t="shared" si="0"/>
        <v>512</v>
      </c>
      <c r="L10" s="116">
        <f t="shared" si="0"/>
        <v>512</v>
      </c>
      <c r="M10" s="116">
        <f t="shared" si="0"/>
        <v>512</v>
      </c>
      <c r="N10" s="116">
        <f t="shared" si="0"/>
        <v>513</v>
      </c>
      <c r="O10" s="116">
        <f t="shared" si="0"/>
        <v>513</v>
      </c>
      <c r="P10" s="116">
        <f t="shared" si="0"/>
        <v>513</v>
      </c>
    </row>
    <row r="11" spans="1:16" x14ac:dyDescent="0.25">
      <c r="C11" s="182" t="s">
        <v>431</v>
      </c>
      <c r="D11" s="183">
        <f>+'POBLACION DEMANDANTE EFECTIVA'!D9*E5</f>
        <v>511.05599999999993</v>
      </c>
      <c r="E11" s="183">
        <f t="shared" ref="E11:P11" si="1">ROUND(($D$11*(1+$A$9)^(E9-$D$9)),0)</f>
        <v>511</v>
      </c>
      <c r="F11" s="183">
        <f t="shared" si="1"/>
        <v>511</v>
      </c>
      <c r="G11" s="183">
        <f t="shared" si="1"/>
        <v>512</v>
      </c>
      <c r="H11" s="183">
        <f t="shared" si="1"/>
        <v>512</v>
      </c>
      <c r="I11" s="183">
        <f t="shared" si="1"/>
        <v>512</v>
      </c>
      <c r="J11" s="183">
        <f t="shared" si="1"/>
        <v>512</v>
      </c>
      <c r="K11" s="183">
        <f t="shared" si="1"/>
        <v>512</v>
      </c>
      <c r="L11" s="183">
        <f t="shared" si="1"/>
        <v>512</v>
      </c>
      <c r="M11" s="183">
        <f t="shared" si="1"/>
        <v>512</v>
      </c>
      <c r="N11" s="183">
        <f t="shared" si="1"/>
        <v>513</v>
      </c>
      <c r="O11" s="183">
        <f t="shared" si="1"/>
        <v>513</v>
      </c>
      <c r="P11" s="183">
        <f t="shared" si="1"/>
        <v>513</v>
      </c>
    </row>
    <row r="12" spans="1:16" x14ac:dyDescent="0.25"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30"/>
      <c r="O12" s="130"/>
      <c r="P12" s="130"/>
    </row>
    <row r="13" spans="1:16" x14ac:dyDescent="0.25">
      <c r="C13" s="284" t="s">
        <v>433</v>
      </c>
      <c r="D13" s="286"/>
      <c r="E13" s="286"/>
      <c r="F13" s="286"/>
      <c r="G13" s="130"/>
      <c r="H13" s="130"/>
      <c r="I13" s="227"/>
      <c r="J13" s="227"/>
      <c r="K13" s="227"/>
      <c r="L13" s="227"/>
      <c r="M13" s="130"/>
      <c r="N13" s="130"/>
      <c r="O13" s="130"/>
      <c r="P13" s="130"/>
    </row>
    <row r="14" spans="1:16" ht="40.5" customHeight="1" x14ac:dyDescent="0.25">
      <c r="C14" s="20" t="s">
        <v>30</v>
      </c>
      <c r="D14" s="20" t="s">
        <v>31</v>
      </c>
      <c r="E14" s="249" t="s">
        <v>448</v>
      </c>
      <c r="F14" s="251"/>
      <c r="G14" s="130"/>
      <c r="H14" s="130"/>
      <c r="I14" s="130"/>
      <c r="J14" s="13"/>
      <c r="K14" s="13"/>
      <c r="L14" s="130"/>
      <c r="M14" s="130"/>
      <c r="N14" s="130"/>
      <c r="O14" s="130"/>
      <c r="P14" s="130"/>
    </row>
    <row r="15" spans="1:16" x14ac:dyDescent="0.25">
      <c r="C15" s="28" t="s">
        <v>435</v>
      </c>
      <c r="D15" s="204" t="str">
        <f>+C21</f>
        <v>0 a 85 años a mas</v>
      </c>
      <c r="E15" s="278">
        <v>2</v>
      </c>
      <c r="F15" s="279"/>
      <c r="G15" s="130"/>
      <c r="H15" s="130"/>
      <c r="I15" s="130"/>
      <c r="J15" s="13"/>
      <c r="K15" s="13"/>
      <c r="L15" s="130"/>
      <c r="M15" s="130"/>
      <c r="N15" s="130"/>
      <c r="O15" s="130"/>
      <c r="P15" s="130"/>
    </row>
    <row r="17" spans="3:16" x14ac:dyDescent="0.25">
      <c r="C17" s="252" t="s">
        <v>38</v>
      </c>
      <c r="D17" s="249" t="s">
        <v>143</v>
      </c>
      <c r="E17" s="250"/>
      <c r="F17" s="251"/>
      <c r="G17" s="255" t="s">
        <v>39</v>
      </c>
      <c r="H17" s="255"/>
      <c r="I17" s="255"/>
      <c r="J17" s="255"/>
      <c r="K17" s="255"/>
      <c r="L17" s="255"/>
      <c r="M17" s="255"/>
      <c r="N17" s="255"/>
      <c r="O17" s="255"/>
      <c r="P17" s="255"/>
    </row>
    <row r="18" spans="3:16" x14ac:dyDescent="0.25">
      <c r="C18" s="253"/>
      <c r="D18" s="239">
        <v>0</v>
      </c>
      <c r="E18" s="239"/>
      <c r="F18" s="239"/>
      <c r="G18" s="24">
        <v>1</v>
      </c>
      <c r="H18" s="25">
        <v>2</v>
      </c>
      <c r="I18" s="25">
        <v>3</v>
      </c>
      <c r="J18" s="25">
        <v>4</v>
      </c>
      <c r="K18" s="25">
        <v>5</v>
      </c>
      <c r="L18" s="25">
        <v>6</v>
      </c>
      <c r="M18" s="25">
        <v>7</v>
      </c>
      <c r="N18" s="25">
        <v>8</v>
      </c>
      <c r="O18" s="25">
        <v>9</v>
      </c>
      <c r="P18" s="24">
        <v>10</v>
      </c>
    </row>
    <row r="19" spans="3:16" x14ac:dyDescent="0.25">
      <c r="C19" s="254"/>
      <c r="D19" s="95">
        <v>2024</v>
      </c>
      <c r="E19" s="95">
        <v>2025</v>
      </c>
      <c r="F19" s="95">
        <v>2026</v>
      </c>
      <c r="G19" s="95">
        <v>2027</v>
      </c>
      <c r="H19" s="95">
        <v>2028</v>
      </c>
      <c r="I19" s="95">
        <v>2029</v>
      </c>
      <c r="J19" s="95">
        <v>2030</v>
      </c>
      <c r="K19" s="95">
        <v>2031</v>
      </c>
      <c r="L19" s="95">
        <v>2032</v>
      </c>
      <c r="M19" s="95">
        <v>2033</v>
      </c>
      <c r="N19" s="95">
        <v>2034</v>
      </c>
      <c r="O19" s="95">
        <v>2035</v>
      </c>
      <c r="P19" s="95">
        <v>2036</v>
      </c>
    </row>
    <row r="20" spans="3:16" x14ac:dyDescent="0.25">
      <c r="C20" s="28" t="s">
        <v>348</v>
      </c>
      <c r="D20" s="116">
        <f t="shared" ref="D20:P20" si="2">+D21</f>
        <v>340.70399999999995</v>
      </c>
      <c r="E20" s="116">
        <f t="shared" si="2"/>
        <v>341</v>
      </c>
      <c r="F20" s="116">
        <f t="shared" si="2"/>
        <v>341</v>
      </c>
      <c r="G20" s="132">
        <f t="shared" si="2"/>
        <v>341</v>
      </c>
      <c r="H20" s="132">
        <f t="shared" si="2"/>
        <v>341</v>
      </c>
      <c r="I20" s="132">
        <f t="shared" si="2"/>
        <v>341</v>
      </c>
      <c r="J20" s="132">
        <f t="shared" si="2"/>
        <v>341</v>
      </c>
      <c r="K20" s="132">
        <f t="shared" si="2"/>
        <v>341</v>
      </c>
      <c r="L20" s="132">
        <f t="shared" si="2"/>
        <v>342</v>
      </c>
      <c r="M20" s="132">
        <f t="shared" si="2"/>
        <v>342</v>
      </c>
      <c r="N20" s="132">
        <f t="shared" si="2"/>
        <v>342</v>
      </c>
      <c r="O20" s="132">
        <f t="shared" si="2"/>
        <v>342</v>
      </c>
      <c r="P20" s="132">
        <f t="shared" si="2"/>
        <v>342</v>
      </c>
    </row>
    <row r="21" spans="3:16" ht="38.25" customHeight="1" x14ac:dyDescent="0.25">
      <c r="C21" s="182" t="s">
        <v>432</v>
      </c>
      <c r="D21" s="183">
        <f>+'POBLACION DEMANDANTE EFECTIVA'!D15*E15</f>
        <v>340.70399999999995</v>
      </c>
      <c r="E21" s="183">
        <f t="shared" ref="E21:P21" si="3">ROUND(($D$21*(1+$A$9)^(E19-$D$19)),0)</f>
        <v>341</v>
      </c>
      <c r="F21" s="183">
        <f t="shared" si="3"/>
        <v>341</v>
      </c>
      <c r="G21" s="183">
        <f t="shared" si="3"/>
        <v>341</v>
      </c>
      <c r="H21" s="183">
        <f t="shared" si="3"/>
        <v>341</v>
      </c>
      <c r="I21" s="183">
        <f t="shared" si="3"/>
        <v>341</v>
      </c>
      <c r="J21" s="183">
        <f t="shared" si="3"/>
        <v>341</v>
      </c>
      <c r="K21" s="183">
        <f t="shared" si="3"/>
        <v>341</v>
      </c>
      <c r="L21" s="183">
        <f t="shared" si="3"/>
        <v>342</v>
      </c>
      <c r="M21" s="183">
        <f t="shared" si="3"/>
        <v>342</v>
      </c>
      <c r="N21" s="183">
        <f t="shared" si="3"/>
        <v>342</v>
      </c>
      <c r="O21" s="183">
        <f t="shared" si="3"/>
        <v>342</v>
      </c>
      <c r="P21" s="183">
        <f t="shared" si="3"/>
        <v>342</v>
      </c>
    </row>
    <row r="23" spans="3:16" x14ac:dyDescent="0.25">
      <c r="C23" s="275" t="s">
        <v>35</v>
      </c>
      <c r="D23" s="276"/>
      <c r="E23" s="276"/>
      <c r="F23" s="277"/>
      <c r="G23" s="130"/>
      <c r="H23" s="130"/>
      <c r="I23" s="227"/>
      <c r="J23" s="227"/>
      <c r="K23" s="227"/>
      <c r="L23" s="227"/>
      <c r="M23" s="130"/>
      <c r="N23" s="130"/>
      <c r="O23" s="130"/>
      <c r="P23" s="130"/>
    </row>
    <row r="24" spans="3:16" ht="42.75" customHeight="1" x14ac:dyDescent="0.25">
      <c r="C24" s="20" t="s">
        <v>30</v>
      </c>
      <c r="D24" s="20" t="s">
        <v>31</v>
      </c>
      <c r="E24" s="249" t="s">
        <v>448</v>
      </c>
      <c r="F24" s="251"/>
      <c r="G24" s="130"/>
      <c r="H24" s="130"/>
      <c r="I24" s="130"/>
      <c r="J24" s="13"/>
      <c r="K24" s="13"/>
      <c r="L24" s="130"/>
      <c r="M24" s="130"/>
      <c r="N24" s="130"/>
      <c r="O24" s="130"/>
      <c r="P24" s="130"/>
    </row>
    <row r="25" spans="3:16" x14ac:dyDescent="0.25">
      <c r="C25" s="280" t="s">
        <v>32</v>
      </c>
      <c r="D25" s="133" t="s">
        <v>197</v>
      </c>
      <c r="E25" s="268">
        <v>2</v>
      </c>
      <c r="F25" s="269"/>
      <c r="G25" s="130"/>
      <c r="H25" s="130"/>
      <c r="I25" s="130"/>
      <c r="J25" s="13"/>
      <c r="K25" s="13"/>
      <c r="L25" s="130"/>
      <c r="M25" s="130"/>
      <c r="N25" s="130"/>
      <c r="O25" s="130"/>
      <c r="P25" s="130"/>
    </row>
    <row r="26" spans="3:16" x14ac:dyDescent="0.25">
      <c r="C26" s="281"/>
      <c r="D26" s="134" t="s">
        <v>36</v>
      </c>
      <c r="E26" s="270">
        <v>6</v>
      </c>
      <c r="F26" s="271"/>
      <c r="G26" s="130"/>
      <c r="H26" s="130"/>
      <c r="I26" s="130"/>
      <c r="J26" s="29"/>
      <c r="K26" s="29"/>
      <c r="L26" s="130"/>
      <c r="M26" s="130"/>
      <c r="N26" s="130"/>
      <c r="O26" s="130"/>
      <c r="P26" s="130"/>
    </row>
    <row r="27" spans="3:16" ht="11.25" customHeight="1" x14ac:dyDescent="0.25">
      <c r="C27" s="281"/>
      <c r="D27" s="134" t="s">
        <v>34</v>
      </c>
      <c r="E27" s="270">
        <v>4</v>
      </c>
      <c r="F27" s="271"/>
      <c r="G27" s="130"/>
      <c r="H27" s="130"/>
      <c r="I27" s="130"/>
      <c r="J27" s="130"/>
      <c r="K27" s="130"/>
      <c r="L27" s="130"/>
      <c r="M27" s="130"/>
      <c r="N27" s="130"/>
      <c r="O27" s="130"/>
      <c r="P27" s="130"/>
    </row>
    <row r="28" spans="3:16" ht="11.25" customHeight="1" x14ac:dyDescent="0.25">
      <c r="C28" s="281"/>
      <c r="D28" s="134" t="s">
        <v>29</v>
      </c>
      <c r="E28" s="270">
        <v>2</v>
      </c>
      <c r="F28" s="271"/>
      <c r="G28" s="130"/>
      <c r="H28" s="130"/>
      <c r="I28" s="130"/>
      <c r="J28" s="227"/>
      <c r="K28" s="227"/>
      <c r="L28" s="130"/>
      <c r="M28" s="130"/>
      <c r="N28" s="130"/>
      <c r="O28" s="130"/>
      <c r="P28" s="130"/>
    </row>
    <row r="29" spans="3:16" ht="11.25" customHeight="1" x14ac:dyDescent="0.25">
      <c r="C29" s="281"/>
      <c r="D29" s="134" t="s">
        <v>25</v>
      </c>
      <c r="E29" s="270">
        <v>2</v>
      </c>
      <c r="F29" s="271"/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3:16" ht="11.25" customHeight="1" x14ac:dyDescent="0.25">
      <c r="C30" s="281"/>
      <c r="D30" s="134" t="s">
        <v>26</v>
      </c>
      <c r="E30" s="270">
        <v>2</v>
      </c>
      <c r="F30" s="271"/>
      <c r="G30" s="130"/>
      <c r="H30" s="130"/>
      <c r="I30" s="130"/>
      <c r="J30" s="13"/>
      <c r="K30" s="13"/>
      <c r="L30" s="130"/>
      <c r="M30" s="130"/>
      <c r="N30" s="130"/>
      <c r="O30" s="130"/>
      <c r="P30" s="130"/>
    </row>
    <row r="31" spans="3:16" x14ac:dyDescent="0.25">
      <c r="C31" s="282"/>
      <c r="D31" s="135" t="s">
        <v>196</v>
      </c>
      <c r="E31" s="272">
        <v>1</v>
      </c>
      <c r="F31" s="273"/>
      <c r="G31" s="130"/>
      <c r="H31" s="130"/>
      <c r="I31" s="130"/>
      <c r="J31" s="13"/>
      <c r="K31" s="13"/>
      <c r="L31" s="130"/>
      <c r="M31" s="130"/>
      <c r="N31" s="130"/>
      <c r="O31" s="130"/>
      <c r="P31" s="130"/>
    </row>
    <row r="32" spans="3:16" ht="11.25" customHeight="1" x14ac:dyDescent="0.25"/>
    <row r="33" spans="3:16" ht="11.25" customHeight="1" x14ac:dyDescent="0.25">
      <c r="C33" s="239" t="s">
        <v>24</v>
      </c>
      <c r="D33" s="249" t="s">
        <v>143</v>
      </c>
      <c r="E33" s="250"/>
      <c r="F33" s="251"/>
      <c r="G33" s="255" t="s">
        <v>39</v>
      </c>
      <c r="H33" s="255"/>
      <c r="I33" s="255"/>
      <c r="J33" s="255"/>
      <c r="K33" s="255"/>
      <c r="L33" s="255"/>
      <c r="M33" s="255"/>
      <c r="N33" s="255"/>
      <c r="O33" s="255"/>
      <c r="P33" s="255"/>
    </row>
    <row r="34" spans="3:16" ht="11.25" customHeight="1" x14ac:dyDescent="0.25">
      <c r="C34" s="239"/>
      <c r="D34" s="259">
        <v>0</v>
      </c>
      <c r="E34" s="260"/>
      <c r="F34" s="261"/>
      <c r="G34" s="24">
        <v>1</v>
      </c>
      <c r="H34" s="24">
        <v>2</v>
      </c>
      <c r="I34" s="24">
        <v>3</v>
      </c>
      <c r="J34" s="24">
        <v>4</v>
      </c>
      <c r="K34" s="24">
        <v>5</v>
      </c>
      <c r="L34" s="24">
        <v>6</v>
      </c>
      <c r="M34" s="24">
        <v>7</v>
      </c>
      <c r="N34" s="24">
        <v>8</v>
      </c>
      <c r="O34" s="24">
        <v>9</v>
      </c>
      <c r="P34" s="24">
        <v>10</v>
      </c>
    </row>
    <row r="35" spans="3:16" ht="63.75" customHeight="1" x14ac:dyDescent="0.25">
      <c r="C35" s="239"/>
      <c r="D35" s="127">
        <f t="shared" ref="D35:P35" si="4">+D19</f>
        <v>2024</v>
      </c>
      <c r="E35" s="127">
        <f t="shared" si="4"/>
        <v>2025</v>
      </c>
      <c r="F35" s="127">
        <f t="shared" si="4"/>
        <v>2026</v>
      </c>
      <c r="G35" s="127">
        <f t="shared" si="4"/>
        <v>2027</v>
      </c>
      <c r="H35" s="127">
        <f t="shared" si="4"/>
        <v>2028</v>
      </c>
      <c r="I35" s="127">
        <f t="shared" si="4"/>
        <v>2029</v>
      </c>
      <c r="J35" s="127">
        <f t="shared" si="4"/>
        <v>2030</v>
      </c>
      <c r="K35" s="127">
        <f t="shared" si="4"/>
        <v>2031</v>
      </c>
      <c r="L35" s="127">
        <f t="shared" si="4"/>
        <v>2032</v>
      </c>
      <c r="M35" s="127">
        <f t="shared" si="4"/>
        <v>2033</v>
      </c>
      <c r="N35" s="127">
        <f t="shared" si="4"/>
        <v>2034</v>
      </c>
      <c r="O35" s="127">
        <f t="shared" si="4"/>
        <v>2035</v>
      </c>
      <c r="P35" s="127">
        <f t="shared" si="4"/>
        <v>2036</v>
      </c>
    </row>
    <row r="36" spans="3:16" ht="11.25" customHeight="1" x14ac:dyDescent="0.25">
      <c r="C36" s="160" t="s">
        <v>241</v>
      </c>
      <c r="D36" s="98">
        <f>+SUM(D37:D43)</f>
        <v>160.80000000000001</v>
      </c>
      <c r="E36" s="98">
        <f t="shared" ref="E36:P36" si="5">+SUM(E37:E43)</f>
        <v>162</v>
      </c>
      <c r="F36" s="98">
        <f t="shared" si="5"/>
        <v>162</v>
      </c>
      <c r="G36" s="110">
        <f t="shared" si="5"/>
        <v>162</v>
      </c>
      <c r="H36" s="106">
        <f t="shared" si="5"/>
        <v>162</v>
      </c>
      <c r="I36" s="106">
        <f t="shared" si="5"/>
        <v>162</v>
      </c>
      <c r="J36" s="106">
        <f t="shared" si="5"/>
        <v>162</v>
      </c>
      <c r="K36" s="106">
        <f t="shared" si="5"/>
        <v>162</v>
      </c>
      <c r="L36" s="106">
        <f t="shared" si="5"/>
        <v>162</v>
      </c>
      <c r="M36" s="106">
        <f t="shared" si="5"/>
        <v>162</v>
      </c>
      <c r="N36" s="106">
        <f t="shared" si="5"/>
        <v>162</v>
      </c>
      <c r="O36" s="106">
        <f t="shared" si="5"/>
        <v>162</v>
      </c>
      <c r="P36" s="106">
        <f t="shared" si="5"/>
        <v>162</v>
      </c>
    </row>
    <row r="37" spans="3:16" ht="11.25" customHeight="1" x14ac:dyDescent="0.25">
      <c r="C37" s="105" t="s">
        <v>199</v>
      </c>
      <c r="D37" s="96">
        <f>+'POBLACION DEMANDANTE EFECTIVA'!D21*E25</f>
        <v>4.8000000000000007</v>
      </c>
      <c r="E37" s="96">
        <f>ROUND(($D$37*(1+$A$9)^(E35-$D$35)),0)</f>
        <v>5</v>
      </c>
      <c r="F37" s="96">
        <f>ROUND(($D$37*(1+$A$9)^(F35-$D$35)),0)</f>
        <v>5</v>
      </c>
      <c r="G37" s="96">
        <f>ROUND(($D$37*(1+$A$9)^(G35-$D$35)),0)</f>
        <v>5</v>
      </c>
      <c r="H37" s="96">
        <f t="shared" ref="H37:P37" si="6">ROUND(($D$37*(1+$A$9)^(H35-$D$35)),0)</f>
        <v>5</v>
      </c>
      <c r="I37" s="96">
        <f t="shared" si="6"/>
        <v>5</v>
      </c>
      <c r="J37" s="96">
        <f t="shared" si="6"/>
        <v>5</v>
      </c>
      <c r="K37" s="96">
        <f t="shared" si="6"/>
        <v>5</v>
      </c>
      <c r="L37" s="96">
        <f t="shared" si="6"/>
        <v>5</v>
      </c>
      <c r="M37" s="96">
        <f t="shared" si="6"/>
        <v>5</v>
      </c>
      <c r="N37" s="96">
        <f t="shared" si="6"/>
        <v>5</v>
      </c>
      <c r="O37" s="96">
        <f t="shared" si="6"/>
        <v>5</v>
      </c>
      <c r="P37" s="96">
        <f t="shared" si="6"/>
        <v>5</v>
      </c>
    </row>
    <row r="38" spans="3:16" ht="11.25" customHeight="1" x14ac:dyDescent="0.25">
      <c r="C38" s="105" t="s">
        <v>198</v>
      </c>
      <c r="D38" s="96">
        <f>+'POBLACION DEMANDANTE EFECTIVA'!D22*E26</f>
        <v>33.6</v>
      </c>
      <c r="E38" s="96">
        <f>ROUND(($D$38*(1+$A$9)^(E35-$D$35)),0)</f>
        <v>34</v>
      </c>
      <c r="F38" s="96">
        <f>ROUND(($D$38*(1+$A$9)^(F35-$D$35)),0)</f>
        <v>34</v>
      </c>
      <c r="G38" s="96">
        <f>ROUND(($D$38*(1+$A$9)^(G35-$D$35)),0)</f>
        <v>34</v>
      </c>
      <c r="H38" s="96">
        <f t="shared" ref="H38:P38" si="7">ROUND(($D$38*(1+$A$9)^(H35-$D$35)),0)</f>
        <v>34</v>
      </c>
      <c r="I38" s="96">
        <f t="shared" si="7"/>
        <v>34</v>
      </c>
      <c r="J38" s="96">
        <f t="shared" si="7"/>
        <v>34</v>
      </c>
      <c r="K38" s="96">
        <f t="shared" si="7"/>
        <v>34</v>
      </c>
      <c r="L38" s="96">
        <f t="shared" si="7"/>
        <v>34</v>
      </c>
      <c r="M38" s="96">
        <f t="shared" si="7"/>
        <v>34</v>
      </c>
      <c r="N38" s="96">
        <f t="shared" si="7"/>
        <v>34</v>
      </c>
      <c r="O38" s="96">
        <f t="shared" si="7"/>
        <v>34</v>
      </c>
      <c r="P38" s="96">
        <f t="shared" si="7"/>
        <v>34</v>
      </c>
    </row>
    <row r="39" spans="3:16" ht="11.25" customHeight="1" x14ac:dyDescent="0.25">
      <c r="C39" s="51" t="s">
        <v>34</v>
      </c>
      <c r="D39" s="96">
        <f>+'POBLACION DEMANDANTE EFECTIVA'!D23*E27</f>
        <v>16</v>
      </c>
      <c r="E39" s="96">
        <f>ROUND(($D$39*(1+$A$9)^(E35-$D$35)),0)</f>
        <v>16</v>
      </c>
      <c r="F39" s="96">
        <f>ROUND(($D$39*(1+$A$9)^(F35-$D$35)),0)</f>
        <v>16</v>
      </c>
      <c r="G39" s="96">
        <f>ROUND(($D$39*(1+$A$9)^(G35-$D$35)),0)</f>
        <v>16</v>
      </c>
      <c r="H39" s="96">
        <f>ROUND(($D$39*(1+$A$9)^(H35-$D$35)),0)</f>
        <v>16</v>
      </c>
      <c r="I39" s="96">
        <f t="shared" ref="I39:P39" si="8">ROUND(($D$39*(1+$A$9)^(I35-$D$35)),0)</f>
        <v>16</v>
      </c>
      <c r="J39" s="96">
        <f t="shared" si="8"/>
        <v>16</v>
      </c>
      <c r="K39" s="96">
        <f t="shared" si="8"/>
        <v>16</v>
      </c>
      <c r="L39" s="96">
        <f t="shared" si="8"/>
        <v>16</v>
      </c>
      <c r="M39" s="96">
        <f t="shared" si="8"/>
        <v>16</v>
      </c>
      <c r="N39" s="96">
        <f t="shared" si="8"/>
        <v>16</v>
      </c>
      <c r="O39" s="96">
        <f t="shared" si="8"/>
        <v>16</v>
      </c>
      <c r="P39" s="96">
        <f t="shared" si="8"/>
        <v>16</v>
      </c>
    </row>
    <row r="40" spans="3:16" ht="11.25" customHeight="1" x14ac:dyDescent="0.25">
      <c r="C40" s="51" t="s">
        <v>29</v>
      </c>
      <c r="D40" s="96">
        <f>+'POBLACION DEMANDANTE EFECTIVA'!D24*E28</f>
        <v>20.8</v>
      </c>
      <c r="E40" s="96">
        <f>ROUND(($D$40*(1+$A$9)^(E35-$D$35)),0)</f>
        <v>21</v>
      </c>
      <c r="F40" s="96">
        <f>ROUND(($D$40*(1+$A$9)^(F35-$D$35)),0)</f>
        <v>21</v>
      </c>
      <c r="G40" s="96">
        <f t="shared" ref="G40:P40" si="9">ROUND(($D$40*(1+$A$9)^(G35-$D$35)),0)</f>
        <v>21</v>
      </c>
      <c r="H40" s="96">
        <f>ROUND(($D$40*(1+$A$9)^(H35-$D$35)),0)</f>
        <v>21</v>
      </c>
      <c r="I40" s="96">
        <f t="shared" si="9"/>
        <v>21</v>
      </c>
      <c r="J40" s="96">
        <f t="shared" si="9"/>
        <v>21</v>
      </c>
      <c r="K40" s="96">
        <f t="shared" si="9"/>
        <v>21</v>
      </c>
      <c r="L40" s="96">
        <f t="shared" si="9"/>
        <v>21</v>
      </c>
      <c r="M40" s="96">
        <f t="shared" si="9"/>
        <v>21</v>
      </c>
      <c r="N40" s="96">
        <f t="shared" si="9"/>
        <v>21</v>
      </c>
      <c r="O40" s="96">
        <f t="shared" si="9"/>
        <v>21</v>
      </c>
      <c r="P40" s="96">
        <f t="shared" si="9"/>
        <v>21</v>
      </c>
    </row>
    <row r="41" spans="3:16" ht="11.25" customHeight="1" x14ac:dyDescent="0.25">
      <c r="C41" s="51" t="s">
        <v>25</v>
      </c>
      <c r="D41" s="96">
        <f>+'POBLACION DEMANDANTE EFECTIVA'!D25*E29</f>
        <v>24</v>
      </c>
      <c r="E41" s="96">
        <f>ROUND(($D$41*(1+$A$9)^(E35-$D$35)),0)</f>
        <v>24</v>
      </c>
      <c r="F41" s="96">
        <f>ROUND(($D$41*(1+$A$9)^(F35-$D$35)),0)</f>
        <v>24</v>
      </c>
      <c r="G41" s="96">
        <f t="shared" ref="G41:P41" si="10">ROUND(($D$41*(1+$A$9)^(G35-$D$35)),0)</f>
        <v>24</v>
      </c>
      <c r="H41" s="96">
        <f t="shared" si="10"/>
        <v>24</v>
      </c>
      <c r="I41" s="96">
        <f t="shared" si="10"/>
        <v>24</v>
      </c>
      <c r="J41" s="96">
        <f t="shared" si="10"/>
        <v>24</v>
      </c>
      <c r="K41" s="96">
        <f t="shared" si="10"/>
        <v>24</v>
      </c>
      <c r="L41" s="96">
        <f t="shared" si="10"/>
        <v>24</v>
      </c>
      <c r="M41" s="96">
        <f t="shared" si="10"/>
        <v>24</v>
      </c>
      <c r="N41" s="96">
        <f t="shared" si="10"/>
        <v>24</v>
      </c>
      <c r="O41" s="96">
        <f t="shared" si="10"/>
        <v>24</v>
      </c>
      <c r="P41" s="96">
        <f t="shared" si="10"/>
        <v>24</v>
      </c>
    </row>
    <row r="42" spans="3:16" ht="11.25" customHeight="1" x14ac:dyDescent="0.25">
      <c r="C42" s="51" t="s">
        <v>26</v>
      </c>
      <c r="D42" s="96">
        <f>+'POBLACION DEMANDANTE EFECTIVA'!D26*E30</f>
        <v>20.8</v>
      </c>
      <c r="E42" s="96">
        <f>ROUND(($D$42*(1+$A$9)^(E35-$D$35)),0)</f>
        <v>21</v>
      </c>
      <c r="F42" s="96">
        <f>ROUND(($D$42*(1+$A$9)^(F35-$D$35)),0)</f>
        <v>21</v>
      </c>
      <c r="G42" s="96">
        <f t="shared" ref="G42:P42" si="11">ROUND(($D$42*(1+$A$9)^(G35-$D$35)),0)</f>
        <v>21</v>
      </c>
      <c r="H42" s="96">
        <f t="shared" si="11"/>
        <v>21</v>
      </c>
      <c r="I42" s="96">
        <f t="shared" si="11"/>
        <v>21</v>
      </c>
      <c r="J42" s="96">
        <f t="shared" si="11"/>
        <v>21</v>
      </c>
      <c r="K42" s="96">
        <f t="shared" si="11"/>
        <v>21</v>
      </c>
      <c r="L42" s="96">
        <f t="shared" si="11"/>
        <v>21</v>
      </c>
      <c r="M42" s="96">
        <f t="shared" si="11"/>
        <v>21</v>
      </c>
      <c r="N42" s="96">
        <f t="shared" si="11"/>
        <v>21</v>
      </c>
      <c r="O42" s="96">
        <f t="shared" si="11"/>
        <v>21</v>
      </c>
      <c r="P42" s="96">
        <f t="shared" si="11"/>
        <v>21</v>
      </c>
    </row>
    <row r="43" spans="3:16" ht="11.25" customHeight="1" x14ac:dyDescent="0.25">
      <c r="C43" s="51" t="s">
        <v>196</v>
      </c>
      <c r="D43" s="96">
        <f>+'POBLACION DEMANDANTE EFECTIVA'!D27*E31</f>
        <v>40.800000000000004</v>
      </c>
      <c r="E43" s="96">
        <f>ROUND(($D$43*(1+$A$9)^(E35-$D$35)),0)</f>
        <v>41</v>
      </c>
      <c r="F43" s="96">
        <f>ROUND(($D$43*(1+$A$9)^(F35-$D$35)),0)</f>
        <v>41</v>
      </c>
      <c r="G43" s="96">
        <f t="shared" ref="G43:P43" si="12">ROUND(($D$43*(1+$A$9)^(G35-$D$35)),0)</f>
        <v>41</v>
      </c>
      <c r="H43" s="96">
        <f t="shared" si="12"/>
        <v>41</v>
      </c>
      <c r="I43" s="96">
        <f t="shared" si="12"/>
        <v>41</v>
      </c>
      <c r="J43" s="96">
        <f t="shared" si="12"/>
        <v>41</v>
      </c>
      <c r="K43" s="96">
        <f t="shared" si="12"/>
        <v>41</v>
      </c>
      <c r="L43" s="96">
        <f t="shared" si="12"/>
        <v>41</v>
      </c>
      <c r="M43" s="96">
        <f t="shared" si="12"/>
        <v>41</v>
      </c>
      <c r="N43" s="96">
        <f t="shared" si="12"/>
        <v>41</v>
      </c>
      <c r="O43" s="96">
        <f t="shared" si="12"/>
        <v>41</v>
      </c>
      <c r="P43" s="96">
        <f t="shared" si="12"/>
        <v>41</v>
      </c>
    </row>
    <row r="44" spans="3:16" ht="11.25" customHeight="1" x14ac:dyDescent="0.25"/>
    <row r="45" spans="3:16" ht="11.25" customHeight="1" x14ac:dyDescent="0.25">
      <c r="C45" s="275" t="s">
        <v>484</v>
      </c>
      <c r="D45" s="276"/>
      <c r="E45" s="276"/>
      <c r="F45" s="277"/>
      <c r="G45" s="117"/>
      <c r="H45" s="117"/>
      <c r="I45" s="117"/>
      <c r="J45" s="117"/>
      <c r="K45" s="117"/>
      <c r="L45" s="117"/>
      <c r="M45" s="117"/>
      <c r="N45" s="117"/>
      <c r="O45" s="117"/>
      <c r="P45" s="117"/>
    </row>
    <row r="46" spans="3:16" ht="42.75" customHeight="1" x14ac:dyDescent="0.25">
      <c r="C46" s="20" t="s">
        <v>30</v>
      </c>
      <c r="D46" s="20" t="s">
        <v>31</v>
      </c>
      <c r="E46" s="249" t="s">
        <v>448</v>
      </c>
      <c r="F46" s="251"/>
      <c r="G46" s="117"/>
      <c r="H46" s="117"/>
      <c r="I46" s="117"/>
      <c r="J46" s="117"/>
      <c r="K46" s="117"/>
      <c r="L46" s="117"/>
      <c r="M46" s="117"/>
      <c r="N46" s="117"/>
      <c r="O46" s="117"/>
      <c r="P46" s="117"/>
    </row>
    <row r="47" spans="3:16" x14ac:dyDescent="0.25">
      <c r="C47" s="280" t="s">
        <v>193</v>
      </c>
      <c r="D47" s="136" t="str">
        <f>+C57</f>
        <v>&lt; 29 dias</v>
      </c>
      <c r="E47" s="268">
        <v>2</v>
      </c>
      <c r="F47" s="269"/>
      <c r="G47" s="117"/>
      <c r="H47" s="117"/>
      <c r="I47" s="117"/>
      <c r="J47" s="117"/>
      <c r="K47" s="117"/>
      <c r="L47" s="117"/>
      <c r="M47" s="117"/>
      <c r="N47" s="117"/>
      <c r="O47" s="117"/>
      <c r="P47" s="117"/>
    </row>
    <row r="48" spans="3:16" ht="11.25" customHeight="1" x14ac:dyDescent="0.25">
      <c r="C48" s="281"/>
      <c r="D48" s="136" t="str">
        <f t="shared" ref="D48:D51" si="13">+C58</f>
        <v>&lt; 1 año</v>
      </c>
      <c r="E48" s="270">
        <v>4</v>
      </c>
      <c r="F48" s="271"/>
      <c r="G48" s="117"/>
      <c r="H48" s="117"/>
      <c r="I48" s="117"/>
      <c r="J48" s="117"/>
      <c r="K48" s="117"/>
      <c r="L48" s="117"/>
      <c r="M48" s="117"/>
      <c r="N48" s="117"/>
      <c r="O48" s="117"/>
      <c r="P48" s="117"/>
    </row>
    <row r="49" spans="3:16" ht="11.25" customHeight="1" x14ac:dyDescent="0.25">
      <c r="C49" s="281"/>
      <c r="D49" s="136" t="str">
        <f t="shared" si="13"/>
        <v>1 años</v>
      </c>
      <c r="E49" s="270">
        <v>3</v>
      </c>
      <c r="F49" s="271"/>
      <c r="G49" s="117"/>
      <c r="H49" s="117"/>
      <c r="I49" s="117"/>
      <c r="J49" s="117"/>
      <c r="K49" s="117"/>
      <c r="L49" s="117"/>
      <c r="M49" s="117"/>
      <c r="N49" s="117"/>
      <c r="O49" s="117"/>
      <c r="P49" s="117"/>
    </row>
    <row r="50" spans="3:16" ht="11.25" customHeight="1" x14ac:dyDescent="0.25">
      <c r="C50" s="281"/>
      <c r="D50" s="136" t="str">
        <f t="shared" si="13"/>
        <v>2 años</v>
      </c>
      <c r="E50" s="270">
        <v>2</v>
      </c>
      <c r="F50" s="271"/>
      <c r="G50" s="117"/>
      <c r="H50" s="117"/>
      <c r="I50" s="117"/>
      <c r="J50" s="117"/>
      <c r="K50" s="117"/>
      <c r="L50" s="117"/>
      <c r="M50" s="117"/>
      <c r="N50" s="117"/>
      <c r="O50" s="117"/>
      <c r="P50" s="117"/>
    </row>
    <row r="51" spans="3:16" ht="11.25" customHeight="1" x14ac:dyDescent="0.25">
      <c r="C51" s="282"/>
      <c r="D51" s="136" t="str">
        <f t="shared" si="13"/>
        <v>3 años</v>
      </c>
      <c r="E51" s="272">
        <v>2</v>
      </c>
      <c r="F51" s="273"/>
      <c r="G51" s="117"/>
      <c r="H51" s="117"/>
      <c r="I51" s="117"/>
      <c r="J51" s="117"/>
      <c r="K51" s="117"/>
      <c r="L51" s="117"/>
      <c r="M51" s="117"/>
      <c r="N51" s="117"/>
      <c r="O51" s="117"/>
      <c r="P51" s="117"/>
    </row>
    <row r="52" spans="3:16" ht="11.25" customHeight="1" x14ac:dyDescent="0.25"/>
    <row r="53" spans="3:16" ht="11.25" customHeight="1" x14ac:dyDescent="0.25">
      <c r="C53" s="239" t="s">
        <v>24</v>
      </c>
      <c r="D53" s="249" t="s">
        <v>143</v>
      </c>
      <c r="E53" s="250"/>
      <c r="F53" s="251"/>
      <c r="G53" s="255" t="s">
        <v>39</v>
      </c>
      <c r="H53" s="255"/>
      <c r="I53" s="255"/>
      <c r="J53" s="255"/>
      <c r="K53" s="255"/>
      <c r="L53" s="255"/>
      <c r="M53" s="255"/>
      <c r="N53" s="255"/>
      <c r="O53" s="255"/>
      <c r="P53" s="255"/>
    </row>
    <row r="54" spans="3:16" ht="11.25" customHeight="1" x14ac:dyDescent="0.25">
      <c r="C54" s="239"/>
      <c r="D54" s="259">
        <v>0</v>
      </c>
      <c r="E54" s="260"/>
      <c r="F54" s="261"/>
      <c r="G54" s="24">
        <v>1</v>
      </c>
      <c r="H54" s="24">
        <v>2</v>
      </c>
      <c r="I54" s="24">
        <v>3</v>
      </c>
      <c r="J54" s="24">
        <v>4</v>
      </c>
      <c r="K54" s="24">
        <v>5</v>
      </c>
      <c r="L54" s="24">
        <v>6</v>
      </c>
      <c r="M54" s="24">
        <v>7</v>
      </c>
      <c r="N54" s="24">
        <v>8</v>
      </c>
      <c r="O54" s="24">
        <v>9</v>
      </c>
      <c r="P54" s="24">
        <v>10</v>
      </c>
    </row>
    <row r="55" spans="3:16" ht="11.25" customHeight="1" x14ac:dyDescent="0.25">
      <c r="C55" s="239"/>
      <c r="D55" s="95">
        <f t="shared" ref="D55:P55" si="14">+D35</f>
        <v>2024</v>
      </c>
      <c r="E55" s="95">
        <f t="shared" si="14"/>
        <v>2025</v>
      </c>
      <c r="F55" s="95">
        <f t="shared" si="14"/>
        <v>2026</v>
      </c>
      <c r="G55" s="95">
        <f t="shared" si="14"/>
        <v>2027</v>
      </c>
      <c r="H55" s="95">
        <f t="shared" si="14"/>
        <v>2028</v>
      </c>
      <c r="I55" s="95">
        <f t="shared" si="14"/>
        <v>2029</v>
      </c>
      <c r="J55" s="95">
        <f t="shared" si="14"/>
        <v>2030</v>
      </c>
      <c r="K55" s="95">
        <f t="shared" si="14"/>
        <v>2031</v>
      </c>
      <c r="L55" s="95">
        <f t="shared" si="14"/>
        <v>2032</v>
      </c>
      <c r="M55" s="95">
        <f t="shared" si="14"/>
        <v>2033</v>
      </c>
      <c r="N55" s="95">
        <f t="shared" si="14"/>
        <v>2034</v>
      </c>
      <c r="O55" s="95">
        <f t="shared" si="14"/>
        <v>2035</v>
      </c>
      <c r="P55" s="95">
        <f t="shared" si="14"/>
        <v>2036</v>
      </c>
    </row>
    <row r="56" spans="3:16" ht="25.5" x14ac:dyDescent="0.25">
      <c r="C56" s="99" t="s">
        <v>192</v>
      </c>
      <c r="D56" s="106">
        <f>+SUM(D57:D61)</f>
        <v>84</v>
      </c>
      <c r="E56" s="106">
        <f>+SUM(E57:E61)</f>
        <v>84</v>
      </c>
      <c r="F56" s="143">
        <f>+SUM(F57:F61)</f>
        <v>84</v>
      </c>
      <c r="G56" s="106">
        <f>+SUM(G57:G61)</f>
        <v>84</v>
      </c>
      <c r="H56" s="106">
        <f>+SUM(H57:H61)</f>
        <v>84</v>
      </c>
      <c r="I56" s="106">
        <f t="shared" ref="I56:P56" si="15">+SUM(I57:I61)</f>
        <v>84</v>
      </c>
      <c r="J56" s="106">
        <f t="shared" si="15"/>
        <v>84</v>
      </c>
      <c r="K56" s="106">
        <f t="shared" si="15"/>
        <v>84</v>
      </c>
      <c r="L56" s="106">
        <f t="shared" si="15"/>
        <v>84</v>
      </c>
      <c r="M56" s="106">
        <f t="shared" si="15"/>
        <v>84</v>
      </c>
      <c r="N56" s="106">
        <f t="shared" si="15"/>
        <v>84</v>
      </c>
      <c r="O56" s="106">
        <f t="shared" si="15"/>
        <v>84</v>
      </c>
      <c r="P56" s="106">
        <f t="shared" si="15"/>
        <v>84</v>
      </c>
    </row>
    <row r="57" spans="3:16" ht="11.25" customHeight="1" x14ac:dyDescent="0.25">
      <c r="C57" s="105" t="s">
        <v>201</v>
      </c>
      <c r="D57" s="96">
        <f>+'POBLACION DEMANDANTE EFECTIVA'!D33*E47</f>
        <v>4.8000000000000007</v>
      </c>
      <c r="E57" s="96">
        <f>ROUND(($D$57*(1+$A$9)^(E55-$D$55)),0)</f>
        <v>5</v>
      </c>
      <c r="F57" s="96">
        <f>ROUND(($D$57*(1+$A$9)^(F55-$D$55)),0)</f>
        <v>5</v>
      </c>
      <c r="G57" s="96">
        <f>ROUND(($D$57*(1+$A$9)^(G55-$D$55)),0)</f>
        <v>5</v>
      </c>
      <c r="H57" s="96">
        <f>ROUND(($D$57*(1+$A$9)^(H55-$D$55)),0)</f>
        <v>5</v>
      </c>
      <c r="I57" s="96">
        <f t="shared" ref="I57:P57" si="16">ROUND(($D$57*(1+$A$9)^(I55-$D$55)),0)</f>
        <v>5</v>
      </c>
      <c r="J57" s="96">
        <f t="shared" si="16"/>
        <v>5</v>
      </c>
      <c r="K57" s="96">
        <f t="shared" si="16"/>
        <v>5</v>
      </c>
      <c r="L57" s="96">
        <f t="shared" si="16"/>
        <v>5</v>
      </c>
      <c r="M57" s="96">
        <f t="shared" si="16"/>
        <v>5</v>
      </c>
      <c r="N57" s="96">
        <f t="shared" si="16"/>
        <v>5</v>
      </c>
      <c r="O57" s="96">
        <f t="shared" si="16"/>
        <v>5</v>
      </c>
      <c r="P57" s="96">
        <f t="shared" si="16"/>
        <v>5</v>
      </c>
    </row>
    <row r="58" spans="3:16" ht="11.25" customHeight="1" x14ac:dyDescent="0.25">
      <c r="C58" s="105" t="s">
        <v>373</v>
      </c>
      <c r="D58" s="96">
        <f>+'POBLACION DEMANDANTE EFECTIVA'!D34*E48</f>
        <v>22.400000000000002</v>
      </c>
      <c r="E58" s="96">
        <f>ROUND(($D$58*(1+$A$9)^(E55-$D$55)),0)</f>
        <v>22</v>
      </c>
      <c r="F58" s="96">
        <f>ROUND(($D$58*(1+$A$9)^(F55-$D$55)),0)</f>
        <v>22</v>
      </c>
      <c r="G58" s="96">
        <f>ROUND(($D$58*(1+$A$9)^(G55-$D$55)),0)</f>
        <v>22</v>
      </c>
      <c r="H58" s="96">
        <f>ROUND(($D$58*(1+$A$9)^(H55-$D$55)),0)</f>
        <v>22</v>
      </c>
      <c r="I58" s="96">
        <f t="shared" ref="I58:P58" si="17">ROUND(($D$58*(1+$A$9)^(I55-$D$55)),0)</f>
        <v>22</v>
      </c>
      <c r="J58" s="96">
        <f t="shared" si="17"/>
        <v>22</v>
      </c>
      <c r="K58" s="96">
        <f t="shared" si="17"/>
        <v>22</v>
      </c>
      <c r="L58" s="96">
        <f t="shared" si="17"/>
        <v>22</v>
      </c>
      <c r="M58" s="96">
        <f t="shared" si="17"/>
        <v>22</v>
      </c>
      <c r="N58" s="96">
        <f t="shared" si="17"/>
        <v>22</v>
      </c>
      <c r="O58" s="96">
        <f t="shared" si="17"/>
        <v>22</v>
      </c>
      <c r="P58" s="96">
        <f t="shared" si="17"/>
        <v>22</v>
      </c>
    </row>
    <row r="59" spans="3:16" ht="11.25" customHeight="1" x14ac:dyDescent="0.25">
      <c r="C59" s="51" t="s">
        <v>200</v>
      </c>
      <c r="D59" s="96">
        <f>+'POBLACION DEMANDANTE EFECTIVA'!D35*E49</f>
        <v>12</v>
      </c>
      <c r="E59" s="96">
        <f>ROUND(($D$59*(1+$A$9)^(E55-$D$55)),0)</f>
        <v>12</v>
      </c>
      <c r="F59" s="96">
        <f>ROUND(($D$59*(1+$A$9)^(F55-$D$55)),0)</f>
        <v>12</v>
      </c>
      <c r="G59" s="96">
        <f>ROUND(($D$59*(1+$A$9)^(G55-$D$55)),0)</f>
        <v>12</v>
      </c>
      <c r="H59" s="96">
        <f>ROUND(($D$59*(1+$A$9)^(H55-$D$55)),0)</f>
        <v>12</v>
      </c>
      <c r="I59" s="96">
        <f t="shared" ref="I59:P59" si="18">ROUND(($D$59*(1+$A$9)^(I55-$D$55)),0)</f>
        <v>12</v>
      </c>
      <c r="J59" s="96">
        <f t="shared" si="18"/>
        <v>12</v>
      </c>
      <c r="K59" s="96">
        <f t="shared" si="18"/>
        <v>12</v>
      </c>
      <c r="L59" s="96">
        <f t="shared" si="18"/>
        <v>12</v>
      </c>
      <c r="M59" s="96">
        <f t="shared" si="18"/>
        <v>12</v>
      </c>
      <c r="N59" s="96">
        <f t="shared" si="18"/>
        <v>12</v>
      </c>
      <c r="O59" s="96">
        <f t="shared" si="18"/>
        <v>12</v>
      </c>
      <c r="P59" s="96">
        <f t="shared" si="18"/>
        <v>12</v>
      </c>
    </row>
    <row r="60" spans="3:16" ht="11.25" customHeight="1" x14ac:dyDescent="0.25">
      <c r="C60" s="51" t="s">
        <v>29</v>
      </c>
      <c r="D60" s="96">
        <f>+'POBLACION DEMANDANTE EFECTIVA'!D36*E50</f>
        <v>20.8</v>
      </c>
      <c r="E60" s="96">
        <f>ROUND(($D$60*(1+$A$9)^(E55-$D$55)),0)</f>
        <v>21</v>
      </c>
      <c r="F60" s="96">
        <f>ROUND(($D$60*(1+$A$9)^(F55-$D$55)),0)</f>
        <v>21</v>
      </c>
      <c r="G60" s="96">
        <f>ROUND(($D$60*(1+$A$9)^(G55-$D$55)),0)</f>
        <v>21</v>
      </c>
      <c r="H60" s="96">
        <f>ROUND(($D$60*(1+$A$9)^(H55-$D$55)),0)</f>
        <v>21</v>
      </c>
      <c r="I60" s="96">
        <f t="shared" ref="I60:P60" si="19">ROUND(($D$60*(1+$A$9)^(I55-$D$55)),0)</f>
        <v>21</v>
      </c>
      <c r="J60" s="96">
        <f t="shared" si="19"/>
        <v>21</v>
      </c>
      <c r="K60" s="96">
        <f t="shared" si="19"/>
        <v>21</v>
      </c>
      <c r="L60" s="96">
        <f t="shared" si="19"/>
        <v>21</v>
      </c>
      <c r="M60" s="96">
        <f t="shared" si="19"/>
        <v>21</v>
      </c>
      <c r="N60" s="96">
        <f t="shared" si="19"/>
        <v>21</v>
      </c>
      <c r="O60" s="96">
        <f t="shared" si="19"/>
        <v>21</v>
      </c>
      <c r="P60" s="96">
        <f t="shared" si="19"/>
        <v>21</v>
      </c>
    </row>
    <row r="61" spans="3:16" ht="11.25" customHeight="1" x14ac:dyDescent="0.25">
      <c r="C61" s="51" t="s">
        <v>25</v>
      </c>
      <c r="D61" s="96">
        <f>+'POBLACION DEMANDANTE EFECTIVA'!D37*E51</f>
        <v>24</v>
      </c>
      <c r="E61" s="96">
        <f>ROUND(($D$61*(1+$A$9)^(E55-$D$55)),0)</f>
        <v>24</v>
      </c>
      <c r="F61" s="96">
        <f>ROUND(($D$61*(1+$A$9)^(F55-$D$55)),0)</f>
        <v>24</v>
      </c>
      <c r="G61" s="96">
        <f>ROUND(($D$61*(1+$A$9)^(G55-$D$55)),0)</f>
        <v>24</v>
      </c>
      <c r="H61" s="96">
        <f>ROUND(($D$61*(1+$A$9)^(H55-$D$55)),0)</f>
        <v>24</v>
      </c>
      <c r="I61" s="96">
        <f t="shared" ref="I61:P61" si="20">ROUND(($D$61*(1+$A$9)^(I55-$D$55)),0)</f>
        <v>24</v>
      </c>
      <c r="J61" s="96">
        <f t="shared" si="20"/>
        <v>24</v>
      </c>
      <c r="K61" s="96">
        <f t="shared" si="20"/>
        <v>24</v>
      </c>
      <c r="L61" s="96">
        <f t="shared" si="20"/>
        <v>24</v>
      </c>
      <c r="M61" s="96">
        <f t="shared" si="20"/>
        <v>24</v>
      </c>
      <c r="N61" s="96">
        <f t="shared" si="20"/>
        <v>24</v>
      </c>
      <c r="O61" s="96">
        <f t="shared" si="20"/>
        <v>24</v>
      </c>
      <c r="P61" s="96">
        <f t="shared" si="20"/>
        <v>24</v>
      </c>
    </row>
    <row r="62" spans="3:16" ht="11.25" customHeight="1" x14ac:dyDescent="0.25"/>
    <row r="63" spans="3:16" ht="11.25" customHeight="1" x14ac:dyDescent="0.25">
      <c r="C63" s="267" t="s">
        <v>433</v>
      </c>
      <c r="D63" s="267"/>
      <c r="E63" s="267"/>
      <c r="F63" s="267"/>
      <c r="G63" s="117"/>
      <c r="H63" s="117"/>
      <c r="I63" s="117"/>
      <c r="J63" s="117"/>
      <c r="K63" s="117"/>
      <c r="L63" s="117"/>
      <c r="M63" s="117"/>
      <c r="N63" s="117"/>
      <c r="O63" s="117"/>
      <c r="P63" s="117"/>
    </row>
    <row r="64" spans="3:16" ht="38.25" customHeight="1" x14ac:dyDescent="0.25">
      <c r="C64" s="26" t="s">
        <v>30</v>
      </c>
      <c r="D64" s="26" t="s">
        <v>31</v>
      </c>
      <c r="E64" s="239" t="s">
        <v>449</v>
      </c>
      <c r="F64" s="239"/>
      <c r="G64" s="117"/>
      <c r="H64" s="117"/>
      <c r="I64" s="117"/>
      <c r="J64" s="117"/>
      <c r="K64" s="117"/>
      <c r="L64" s="117"/>
      <c r="M64" s="117"/>
      <c r="N64" s="117"/>
      <c r="O64" s="117"/>
      <c r="P64" s="117"/>
    </row>
    <row r="65" spans="3:16" ht="11.25" customHeight="1" x14ac:dyDescent="0.25">
      <c r="C65" s="283" t="s">
        <v>194</v>
      </c>
      <c r="D65" s="21" t="s">
        <v>36</v>
      </c>
      <c r="E65" s="287">
        <v>3</v>
      </c>
      <c r="F65" s="288"/>
      <c r="G65" s="117"/>
      <c r="H65" s="117"/>
      <c r="I65" s="117"/>
      <c r="J65" s="117"/>
      <c r="K65" s="117"/>
      <c r="L65" s="117"/>
      <c r="M65" s="117"/>
      <c r="N65" s="117"/>
      <c r="O65" s="117"/>
      <c r="P65" s="117"/>
    </row>
    <row r="66" spans="3:16" ht="11.25" customHeight="1" x14ac:dyDescent="0.25">
      <c r="C66" s="284"/>
      <c r="D66" s="21" t="s">
        <v>34</v>
      </c>
      <c r="E66" s="289">
        <v>3</v>
      </c>
      <c r="F66" s="290"/>
      <c r="G66" s="117"/>
      <c r="H66" s="117"/>
      <c r="I66" s="117"/>
      <c r="J66" s="117"/>
      <c r="K66" s="117"/>
      <c r="L66" s="117"/>
      <c r="M66" s="117"/>
      <c r="N66" s="117"/>
      <c r="O66" s="117"/>
      <c r="P66" s="117"/>
    </row>
    <row r="67" spans="3:16" x14ac:dyDescent="0.25">
      <c r="C67" s="284"/>
      <c r="D67" s="21" t="s">
        <v>29</v>
      </c>
      <c r="E67" s="289">
        <v>1</v>
      </c>
      <c r="F67" s="290"/>
      <c r="G67" s="117"/>
      <c r="H67" s="117"/>
      <c r="I67" s="117"/>
      <c r="J67" s="117"/>
      <c r="K67" s="117"/>
      <c r="L67" s="117"/>
      <c r="M67" s="117"/>
      <c r="N67" s="117"/>
      <c r="O67" s="117"/>
      <c r="P67" s="117"/>
    </row>
    <row r="68" spans="3:16" x14ac:dyDescent="0.25">
      <c r="C68" s="284"/>
      <c r="D68" s="21" t="s">
        <v>25</v>
      </c>
      <c r="E68" s="289">
        <v>1</v>
      </c>
      <c r="F68" s="290"/>
      <c r="G68" s="117"/>
      <c r="H68" s="117"/>
      <c r="I68" s="117"/>
      <c r="J68" s="117"/>
      <c r="K68" s="117"/>
      <c r="L68" s="117"/>
      <c r="M68" s="117"/>
      <c r="N68" s="117"/>
      <c r="O68" s="117"/>
      <c r="P68" s="117"/>
    </row>
    <row r="69" spans="3:16" x14ac:dyDescent="0.25">
      <c r="C69" s="284"/>
      <c r="D69" s="21" t="s">
        <v>202</v>
      </c>
      <c r="E69" s="289">
        <v>1</v>
      </c>
      <c r="F69" s="290"/>
      <c r="G69" s="117"/>
      <c r="H69" s="117"/>
      <c r="I69" s="117"/>
      <c r="J69" s="117"/>
      <c r="K69" s="117"/>
      <c r="L69" s="117"/>
      <c r="M69" s="117"/>
      <c r="N69" s="117"/>
      <c r="O69" s="117"/>
      <c r="P69" s="117"/>
    </row>
    <row r="70" spans="3:16" ht="11.25" customHeight="1" x14ac:dyDescent="0.25">
      <c r="C70" s="285"/>
      <c r="D70" s="21" t="s">
        <v>33</v>
      </c>
      <c r="E70" s="291">
        <v>2</v>
      </c>
      <c r="F70" s="292"/>
      <c r="G70" s="117"/>
      <c r="H70" s="117"/>
      <c r="I70" s="117"/>
      <c r="J70" s="117"/>
      <c r="K70" s="117"/>
      <c r="L70" s="117"/>
      <c r="M70" s="117"/>
      <c r="N70" s="117"/>
      <c r="O70" s="117"/>
      <c r="P70" s="117"/>
    </row>
    <row r="71" spans="3:16" ht="11.25" customHeight="1" x14ac:dyDescent="0.25"/>
    <row r="72" spans="3:16" ht="11.25" customHeight="1" x14ac:dyDescent="0.25">
      <c r="C72" s="239" t="s">
        <v>24</v>
      </c>
      <c r="D72" s="249" t="s">
        <v>143</v>
      </c>
      <c r="E72" s="250"/>
      <c r="F72" s="251"/>
      <c r="G72" s="255" t="s">
        <v>39</v>
      </c>
      <c r="H72" s="255"/>
      <c r="I72" s="255"/>
      <c r="J72" s="255"/>
      <c r="K72" s="255"/>
      <c r="L72" s="255"/>
      <c r="M72" s="255"/>
      <c r="N72" s="255"/>
      <c r="O72" s="255"/>
      <c r="P72" s="255"/>
    </row>
    <row r="73" spans="3:16" ht="11.25" customHeight="1" x14ac:dyDescent="0.25">
      <c r="C73" s="239"/>
      <c r="D73" s="259">
        <v>0</v>
      </c>
      <c r="E73" s="260"/>
      <c r="F73" s="261"/>
      <c r="G73" s="24">
        <v>1</v>
      </c>
      <c r="H73" s="24">
        <v>2</v>
      </c>
      <c r="I73" s="24">
        <v>3</v>
      </c>
      <c r="J73" s="24">
        <v>4</v>
      </c>
      <c r="K73" s="24">
        <v>5</v>
      </c>
      <c r="L73" s="24">
        <v>6</v>
      </c>
      <c r="M73" s="24">
        <v>7</v>
      </c>
      <c r="N73" s="24">
        <v>8</v>
      </c>
      <c r="O73" s="24">
        <v>9</v>
      </c>
      <c r="P73" s="24">
        <v>10</v>
      </c>
    </row>
    <row r="74" spans="3:16" ht="11.25" customHeight="1" x14ac:dyDescent="0.25">
      <c r="C74" s="239"/>
      <c r="D74" s="20">
        <v>2024</v>
      </c>
      <c r="E74" s="20">
        <v>2025</v>
      </c>
      <c r="F74" s="20">
        <v>2026</v>
      </c>
      <c r="G74" s="20">
        <v>2027</v>
      </c>
      <c r="H74" s="20">
        <v>2028</v>
      </c>
      <c r="I74" s="20">
        <v>2029</v>
      </c>
      <c r="J74" s="20">
        <v>2030</v>
      </c>
      <c r="K74" s="20">
        <v>2031</v>
      </c>
      <c r="L74" s="20">
        <v>2032</v>
      </c>
      <c r="M74" s="20">
        <v>2033</v>
      </c>
      <c r="N74" s="20">
        <v>2034</v>
      </c>
      <c r="O74" s="20">
        <v>2035</v>
      </c>
      <c r="P74" s="20">
        <v>2036</v>
      </c>
    </row>
    <row r="75" spans="3:16" ht="11.25" customHeight="1" x14ac:dyDescent="0.25">
      <c r="C75" s="99" t="s">
        <v>242</v>
      </c>
      <c r="D75" s="97">
        <f t="shared" ref="D75:P75" si="21">+SUM(D76:D81)</f>
        <v>90.4</v>
      </c>
      <c r="E75" s="97">
        <f>+SUM(E76:E81)</f>
        <v>90</v>
      </c>
      <c r="F75" s="97">
        <f>+SUM(F76:F81)</f>
        <v>90</v>
      </c>
      <c r="G75" s="97">
        <f>+SUM(G76:G81)</f>
        <v>90</v>
      </c>
      <c r="H75" s="97">
        <f t="shared" si="21"/>
        <v>90</v>
      </c>
      <c r="I75" s="97">
        <f t="shared" si="21"/>
        <v>90</v>
      </c>
      <c r="J75" s="97">
        <f t="shared" si="21"/>
        <v>90</v>
      </c>
      <c r="K75" s="97">
        <f t="shared" si="21"/>
        <v>90</v>
      </c>
      <c r="L75" s="97">
        <f t="shared" si="21"/>
        <v>90</v>
      </c>
      <c r="M75" s="97">
        <f t="shared" si="21"/>
        <v>90</v>
      </c>
      <c r="N75" s="97">
        <f t="shared" si="21"/>
        <v>90</v>
      </c>
      <c r="O75" s="97">
        <f t="shared" si="21"/>
        <v>90</v>
      </c>
      <c r="P75" s="97">
        <f t="shared" si="21"/>
        <v>90</v>
      </c>
    </row>
    <row r="76" spans="3:16" ht="11.25" customHeight="1" x14ac:dyDescent="0.25">
      <c r="C76" s="105" t="s">
        <v>373</v>
      </c>
      <c r="D76" s="96">
        <f>+'POBLACION DEMANDANTE EFECTIVA'!D43*E65</f>
        <v>16.8</v>
      </c>
      <c r="E76" s="96">
        <f>ROUND(($D$76*(1+$A$9)^(E74-$D$74)),0)</f>
        <v>17</v>
      </c>
      <c r="F76" s="96">
        <f>ROUND(($D$76*(1+$A$9)^(F74-$D$74)),0)</f>
        <v>17</v>
      </c>
      <c r="G76" s="96">
        <f t="shared" ref="G76:P76" si="22">ROUND(($D$76*(1+$A$9)^(G74-$D$74)),0)</f>
        <v>17</v>
      </c>
      <c r="H76" s="96">
        <f t="shared" si="22"/>
        <v>17</v>
      </c>
      <c r="I76" s="96">
        <f t="shared" si="22"/>
        <v>17</v>
      </c>
      <c r="J76" s="96">
        <f t="shared" si="22"/>
        <v>17</v>
      </c>
      <c r="K76" s="96">
        <f t="shared" si="22"/>
        <v>17</v>
      </c>
      <c r="L76" s="96">
        <f t="shared" si="22"/>
        <v>17</v>
      </c>
      <c r="M76" s="96">
        <f t="shared" si="22"/>
        <v>17</v>
      </c>
      <c r="N76" s="96">
        <f t="shared" si="22"/>
        <v>17</v>
      </c>
      <c r="O76" s="96">
        <f t="shared" si="22"/>
        <v>17</v>
      </c>
      <c r="P76" s="96">
        <f t="shared" si="22"/>
        <v>17</v>
      </c>
    </row>
    <row r="77" spans="3:16" x14ac:dyDescent="0.25">
      <c r="C77" s="51" t="s">
        <v>34</v>
      </c>
      <c r="D77" s="96">
        <f>+'POBLACION DEMANDANTE EFECTIVA'!D44*E66</f>
        <v>12</v>
      </c>
      <c r="E77" s="96">
        <f>ROUND(($D$77*(1+$A$9)^(E74-$D$74)),0)</f>
        <v>12</v>
      </c>
      <c r="F77" s="96">
        <f>ROUND(($D$77*(1+$A$9)^(F74-$D$74)),0)</f>
        <v>12</v>
      </c>
      <c r="G77" s="96">
        <f>ROUND(($D$77*(1+$A$9)^(G74-$D$74)),0)</f>
        <v>12</v>
      </c>
      <c r="H77" s="96">
        <f t="shared" ref="H77:P77" si="23">ROUND(($D$77*(1+$A$9)^(H74-$D$74)),0)</f>
        <v>12</v>
      </c>
      <c r="I77" s="96">
        <f t="shared" si="23"/>
        <v>12</v>
      </c>
      <c r="J77" s="96">
        <f t="shared" si="23"/>
        <v>12</v>
      </c>
      <c r="K77" s="96">
        <f t="shared" si="23"/>
        <v>12</v>
      </c>
      <c r="L77" s="96">
        <f t="shared" si="23"/>
        <v>12</v>
      </c>
      <c r="M77" s="96">
        <f t="shared" si="23"/>
        <v>12</v>
      </c>
      <c r="N77" s="96">
        <f t="shared" si="23"/>
        <v>12</v>
      </c>
      <c r="O77" s="96">
        <f t="shared" si="23"/>
        <v>12</v>
      </c>
      <c r="P77" s="96">
        <f t="shared" si="23"/>
        <v>12</v>
      </c>
    </row>
    <row r="78" spans="3:16" ht="11.25" customHeight="1" x14ac:dyDescent="0.25">
      <c r="C78" s="51" t="s">
        <v>29</v>
      </c>
      <c r="D78" s="96">
        <f>+'POBLACION DEMANDANTE EFECTIVA'!D45*E67</f>
        <v>10.4</v>
      </c>
      <c r="E78" s="96">
        <f>ROUND(($D$78*(1+$A$9)^(E74-$D$74)),0)</f>
        <v>10</v>
      </c>
      <c r="F78" s="96">
        <f>ROUND(($D$78*(1+$A$9)^(F74-$D$74)),0)</f>
        <v>10</v>
      </c>
      <c r="G78" s="96">
        <f t="shared" ref="G78:P78" si="24">ROUND(($D$78*(1+$A$9)^(G74-$D$74)),0)</f>
        <v>10</v>
      </c>
      <c r="H78" s="96">
        <f t="shared" si="24"/>
        <v>10</v>
      </c>
      <c r="I78" s="96">
        <f t="shared" si="24"/>
        <v>10</v>
      </c>
      <c r="J78" s="96">
        <f t="shared" si="24"/>
        <v>10</v>
      </c>
      <c r="K78" s="96">
        <f t="shared" si="24"/>
        <v>10</v>
      </c>
      <c r="L78" s="96">
        <f t="shared" si="24"/>
        <v>10</v>
      </c>
      <c r="M78" s="96">
        <f t="shared" si="24"/>
        <v>10</v>
      </c>
      <c r="N78" s="96">
        <f t="shared" si="24"/>
        <v>10</v>
      </c>
      <c r="O78" s="96">
        <f t="shared" si="24"/>
        <v>10</v>
      </c>
      <c r="P78" s="96">
        <f t="shared" si="24"/>
        <v>10</v>
      </c>
    </row>
    <row r="79" spans="3:16" ht="11.25" customHeight="1" x14ac:dyDescent="0.25">
      <c r="C79" s="51" t="s">
        <v>25</v>
      </c>
      <c r="D79" s="96">
        <f>+'POBLACION DEMANDANTE EFECTIVA'!D46*E68</f>
        <v>12</v>
      </c>
      <c r="E79" s="96">
        <f>ROUND(($D$79*(1+$A$9)^(E74-$D$74)),0)</f>
        <v>12</v>
      </c>
      <c r="F79" s="96">
        <f>ROUND(($D$79*(1+$A$9)^(F74-$D$74)),0)</f>
        <v>12</v>
      </c>
      <c r="G79" s="96">
        <f t="shared" ref="G79:P79" si="25">ROUND(($D$79*(1+$A$9)^(G74-$D$74)),0)</f>
        <v>12</v>
      </c>
      <c r="H79" s="96">
        <f t="shared" si="25"/>
        <v>12</v>
      </c>
      <c r="I79" s="96">
        <f t="shared" si="25"/>
        <v>12</v>
      </c>
      <c r="J79" s="96">
        <f t="shared" si="25"/>
        <v>12</v>
      </c>
      <c r="K79" s="96">
        <f t="shared" si="25"/>
        <v>12</v>
      </c>
      <c r="L79" s="96">
        <f t="shared" si="25"/>
        <v>12</v>
      </c>
      <c r="M79" s="96">
        <f t="shared" si="25"/>
        <v>12</v>
      </c>
      <c r="N79" s="96">
        <f t="shared" si="25"/>
        <v>12</v>
      </c>
      <c r="O79" s="96">
        <f t="shared" si="25"/>
        <v>12</v>
      </c>
      <c r="P79" s="96">
        <f t="shared" si="25"/>
        <v>12</v>
      </c>
    </row>
    <row r="80" spans="3:16" ht="11.25" customHeight="1" x14ac:dyDescent="0.25">
      <c r="C80" s="51" t="s">
        <v>202</v>
      </c>
      <c r="D80" s="96">
        <f>+'POBLACION DEMANDANTE EFECTIVA'!D47*E69</f>
        <v>10.4</v>
      </c>
      <c r="E80" s="96">
        <f t="shared" ref="E80:J80" si="26">ROUND(($D$80*(1+$A$9)^(E74-$D$74)),0)</f>
        <v>10</v>
      </c>
      <c r="F80" s="96">
        <f t="shared" si="26"/>
        <v>10</v>
      </c>
      <c r="G80" s="96">
        <f t="shared" si="26"/>
        <v>10</v>
      </c>
      <c r="H80" s="96">
        <f t="shared" si="26"/>
        <v>10</v>
      </c>
      <c r="I80" s="96">
        <f t="shared" si="26"/>
        <v>10</v>
      </c>
      <c r="J80" s="96">
        <f t="shared" si="26"/>
        <v>10</v>
      </c>
      <c r="K80" s="96">
        <f t="shared" ref="K80:P80" si="27">ROUND(($D$80*(1+$A$9)^(K74-$D$74)),0)</f>
        <v>10</v>
      </c>
      <c r="L80" s="96">
        <f t="shared" si="27"/>
        <v>10</v>
      </c>
      <c r="M80" s="96">
        <f t="shared" si="27"/>
        <v>10</v>
      </c>
      <c r="N80" s="96">
        <f t="shared" si="27"/>
        <v>10</v>
      </c>
      <c r="O80" s="96">
        <f t="shared" si="27"/>
        <v>10</v>
      </c>
      <c r="P80" s="96">
        <f t="shared" si="27"/>
        <v>10</v>
      </c>
    </row>
    <row r="81" spans="3:16" ht="11.25" customHeight="1" x14ac:dyDescent="0.25">
      <c r="C81" s="51" t="s">
        <v>195</v>
      </c>
      <c r="D81" s="96">
        <f>+'POBLACION DEMANDANTE EFECTIVA'!D48*E70</f>
        <v>28.8</v>
      </c>
      <c r="E81" s="96">
        <f>ROUND(($D$81*(1+$A$9)^(E74-$D$74)),0)</f>
        <v>29</v>
      </c>
      <c r="F81" s="96">
        <f>ROUND(($D$81*(1+$A$9)^(F74-$D$74)),0)</f>
        <v>29</v>
      </c>
      <c r="G81" s="96">
        <f>ROUND(($D$81*(1+$A$9)^(G74-$D$74)),0)</f>
        <v>29</v>
      </c>
      <c r="H81" s="96">
        <f>ROUND(($D$81*(1+$A$9)^(H74-$D$74)),0)</f>
        <v>29</v>
      </c>
      <c r="I81" s="96">
        <f t="shared" ref="I81:P81" si="28">ROUND(($D$81*(1+$A$9)^(I74-$D$74)),0)</f>
        <v>29</v>
      </c>
      <c r="J81" s="96">
        <f t="shared" si="28"/>
        <v>29</v>
      </c>
      <c r="K81" s="96">
        <f t="shared" si="28"/>
        <v>29</v>
      </c>
      <c r="L81" s="96">
        <f t="shared" si="28"/>
        <v>29</v>
      </c>
      <c r="M81" s="96">
        <f t="shared" si="28"/>
        <v>29</v>
      </c>
      <c r="N81" s="96">
        <f t="shared" si="28"/>
        <v>29</v>
      </c>
      <c r="O81" s="96">
        <f t="shared" si="28"/>
        <v>29</v>
      </c>
      <c r="P81" s="96">
        <f t="shared" si="28"/>
        <v>29</v>
      </c>
    </row>
    <row r="82" spans="3:16" ht="11.25" customHeight="1" x14ac:dyDescent="0.25"/>
    <row r="83" spans="3:16" ht="11.25" customHeight="1" x14ac:dyDescent="0.25">
      <c r="C83" s="275" t="s">
        <v>433</v>
      </c>
      <c r="D83" s="276"/>
      <c r="E83" s="276"/>
      <c r="F83" s="277"/>
      <c r="G83" s="125"/>
      <c r="H83" s="125"/>
      <c r="I83" s="125"/>
      <c r="J83" s="125"/>
      <c r="K83" s="125"/>
      <c r="L83" s="125"/>
      <c r="M83" s="125"/>
      <c r="N83" s="125"/>
      <c r="O83" s="130"/>
      <c r="P83" s="130"/>
    </row>
    <row r="84" spans="3:16" ht="42" customHeight="1" x14ac:dyDescent="0.25">
      <c r="C84" s="20" t="s">
        <v>212</v>
      </c>
      <c r="D84" s="20" t="s">
        <v>31</v>
      </c>
      <c r="E84" s="249" t="s">
        <v>448</v>
      </c>
      <c r="F84" s="251"/>
      <c r="G84" s="125"/>
      <c r="H84" s="125"/>
      <c r="I84" s="125"/>
      <c r="J84" s="125"/>
      <c r="K84" s="125"/>
      <c r="L84" s="125"/>
      <c r="M84" s="125"/>
      <c r="N84" s="125"/>
      <c r="O84" s="130"/>
      <c r="P84" s="130"/>
    </row>
    <row r="85" spans="3:16" ht="11.25" customHeight="1" x14ac:dyDescent="0.25">
      <c r="C85" s="267" t="s">
        <v>219</v>
      </c>
      <c r="D85" s="21" t="s">
        <v>181</v>
      </c>
      <c r="E85" s="268">
        <v>1</v>
      </c>
      <c r="F85" s="269"/>
      <c r="G85" s="125"/>
      <c r="H85" s="125"/>
      <c r="I85" s="125"/>
      <c r="J85" s="125"/>
      <c r="K85" s="125"/>
      <c r="L85" s="125"/>
      <c r="M85" s="125"/>
      <c r="N85" s="125"/>
      <c r="O85" s="130"/>
      <c r="P85" s="130"/>
    </row>
    <row r="86" spans="3:16" ht="11.25" customHeight="1" x14ac:dyDescent="0.25">
      <c r="C86" s="267"/>
      <c r="D86" s="21" t="s">
        <v>182</v>
      </c>
      <c r="E86" s="270">
        <v>1</v>
      </c>
      <c r="F86" s="271"/>
      <c r="G86" s="125"/>
      <c r="H86" s="125"/>
      <c r="I86" s="125"/>
      <c r="J86" s="125"/>
      <c r="K86" s="125"/>
      <c r="L86" s="125"/>
      <c r="M86" s="125"/>
      <c r="N86" s="125"/>
      <c r="O86" s="130"/>
      <c r="P86" s="130"/>
    </row>
    <row r="87" spans="3:16" ht="11.25" customHeight="1" x14ac:dyDescent="0.25">
      <c r="C87" s="267"/>
      <c r="D87" s="21" t="s">
        <v>183</v>
      </c>
      <c r="E87" s="270">
        <v>1</v>
      </c>
      <c r="F87" s="271"/>
      <c r="G87" s="125"/>
      <c r="H87" s="125"/>
      <c r="I87" s="125"/>
      <c r="J87" s="125"/>
      <c r="K87" s="125"/>
      <c r="L87" s="125"/>
      <c r="M87" s="125"/>
      <c r="N87" s="125"/>
      <c r="O87" s="130"/>
      <c r="P87" s="130"/>
    </row>
    <row r="88" spans="3:16" x14ac:dyDescent="0.25">
      <c r="C88" s="267"/>
      <c r="D88" s="21" t="s">
        <v>184</v>
      </c>
      <c r="E88" s="270">
        <v>1</v>
      </c>
      <c r="F88" s="271"/>
      <c r="G88" s="125"/>
      <c r="H88" s="125"/>
      <c r="I88" s="125"/>
      <c r="J88" s="125"/>
      <c r="K88" s="125"/>
      <c r="L88" s="125"/>
      <c r="M88" s="125"/>
      <c r="N88" s="125"/>
      <c r="O88" s="130"/>
      <c r="P88" s="130"/>
    </row>
    <row r="89" spans="3:16" ht="11.25" customHeight="1" x14ac:dyDescent="0.25">
      <c r="C89" s="267"/>
      <c r="D89" s="21" t="s">
        <v>185</v>
      </c>
      <c r="E89" s="270">
        <v>1</v>
      </c>
      <c r="F89" s="271"/>
      <c r="G89" s="125"/>
      <c r="H89" s="125"/>
      <c r="I89" s="125"/>
      <c r="J89" s="125"/>
      <c r="K89" s="125"/>
      <c r="L89" s="125"/>
      <c r="M89" s="125"/>
      <c r="N89" s="125"/>
      <c r="O89" s="130"/>
      <c r="P89" s="130"/>
    </row>
    <row r="90" spans="3:16" ht="11.25" customHeight="1" x14ac:dyDescent="0.25">
      <c r="C90" s="267"/>
      <c r="D90" s="21" t="s">
        <v>186</v>
      </c>
      <c r="E90" s="272">
        <v>1</v>
      </c>
      <c r="F90" s="273"/>
      <c r="G90" s="125"/>
      <c r="H90" s="125"/>
      <c r="I90" s="125"/>
      <c r="J90" s="125"/>
      <c r="K90" s="125"/>
      <c r="L90" s="125"/>
      <c r="M90" s="125"/>
      <c r="N90" s="125"/>
      <c r="O90" s="130"/>
      <c r="P90" s="130"/>
    </row>
    <row r="91" spans="3:16" ht="11.25" customHeight="1" x14ac:dyDescent="0.25"/>
    <row r="92" spans="3:16" ht="11.25" customHeight="1" x14ac:dyDescent="0.25">
      <c r="C92" s="252" t="s">
        <v>38</v>
      </c>
      <c r="D92" s="249" t="s">
        <v>143</v>
      </c>
      <c r="E92" s="250"/>
      <c r="F92" s="251"/>
      <c r="G92" s="255" t="s">
        <v>39</v>
      </c>
      <c r="H92" s="255"/>
      <c r="I92" s="255"/>
      <c r="J92" s="255"/>
      <c r="K92" s="255"/>
      <c r="L92" s="255"/>
      <c r="M92" s="255"/>
      <c r="N92" s="255"/>
      <c r="O92" s="255"/>
      <c r="P92" s="255"/>
    </row>
    <row r="93" spans="3:16" ht="18" customHeight="1" x14ac:dyDescent="0.25">
      <c r="C93" s="253"/>
      <c r="D93" s="239">
        <v>0</v>
      </c>
      <c r="E93" s="239"/>
      <c r="F93" s="239"/>
      <c r="G93" s="24">
        <v>1</v>
      </c>
      <c r="H93" s="25">
        <v>2</v>
      </c>
      <c r="I93" s="25">
        <v>3</v>
      </c>
      <c r="J93" s="25">
        <v>4</v>
      </c>
      <c r="K93" s="25">
        <v>5</v>
      </c>
      <c r="L93" s="25">
        <v>6</v>
      </c>
      <c r="M93" s="25">
        <v>7</v>
      </c>
      <c r="N93" s="25">
        <v>8</v>
      </c>
      <c r="O93" s="25">
        <v>9</v>
      </c>
      <c r="P93" s="24">
        <v>10</v>
      </c>
    </row>
    <row r="94" spans="3:16" ht="11.25" customHeight="1" x14ac:dyDescent="0.25">
      <c r="C94" s="254"/>
      <c r="D94" s="95">
        <v>2024</v>
      </c>
      <c r="E94" s="95">
        <v>2025</v>
      </c>
      <c r="F94" s="95">
        <v>2026</v>
      </c>
      <c r="G94" s="95">
        <v>2027</v>
      </c>
      <c r="H94" s="95">
        <v>2028</v>
      </c>
      <c r="I94" s="95">
        <v>2029</v>
      </c>
      <c r="J94" s="95">
        <v>2030</v>
      </c>
      <c r="K94" s="95">
        <v>2031</v>
      </c>
      <c r="L94" s="95">
        <v>2032</v>
      </c>
      <c r="M94" s="95">
        <v>2033</v>
      </c>
      <c r="N94" s="95">
        <v>2034</v>
      </c>
      <c r="O94" s="95">
        <v>2035</v>
      </c>
      <c r="P94" s="95">
        <v>2036</v>
      </c>
    </row>
    <row r="95" spans="3:16" ht="11.25" customHeight="1" x14ac:dyDescent="0.25">
      <c r="C95" s="28" t="s">
        <v>379</v>
      </c>
      <c r="D95" s="98">
        <f>+SUM(D96:D101)</f>
        <v>291.20000000000005</v>
      </c>
      <c r="E95" s="98">
        <f>+SUM(E96:E101)</f>
        <v>292</v>
      </c>
      <c r="F95" s="120">
        <f t="shared" ref="F95:P95" si="29">+SUM(F96:F101)</f>
        <v>292</v>
      </c>
      <c r="G95" s="106">
        <f t="shared" si="29"/>
        <v>292</v>
      </c>
      <c r="H95" s="106">
        <f t="shared" si="29"/>
        <v>292</v>
      </c>
      <c r="I95" s="106">
        <f t="shared" si="29"/>
        <v>292</v>
      </c>
      <c r="J95" s="106">
        <f t="shared" si="29"/>
        <v>292</v>
      </c>
      <c r="K95" s="106">
        <f t="shared" si="29"/>
        <v>292</v>
      </c>
      <c r="L95" s="106">
        <f t="shared" si="29"/>
        <v>292</v>
      </c>
      <c r="M95" s="106">
        <f t="shared" si="29"/>
        <v>292</v>
      </c>
      <c r="N95" s="106">
        <f t="shared" si="29"/>
        <v>292</v>
      </c>
      <c r="O95" s="106">
        <f t="shared" si="29"/>
        <v>292</v>
      </c>
      <c r="P95" s="106">
        <f t="shared" si="29"/>
        <v>292</v>
      </c>
    </row>
    <row r="96" spans="3:16" ht="11.25" customHeight="1" x14ac:dyDescent="0.25">
      <c r="C96" s="105" t="s">
        <v>181</v>
      </c>
      <c r="D96" s="94">
        <f>+'POBLACION DEMANDANTE EFECTIVA'!D56*E85</f>
        <v>43.2</v>
      </c>
      <c r="E96" s="94">
        <f>ROUND(($D$96*(1+$A$9)^(E94-$D$94)),0)</f>
        <v>43</v>
      </c>
      <c r="F96" s="94">
        <f t="shared" ref="F96:P96" si="30">ROUND(($D$96*(1+$A$9)^(F94-$D$94)),0)</f>
        <v>43</v>
      </c>
      <c r="G96" s="94">
        <f t="shared" si="30"/>
        <v>43</v>
      </c>
      <c r="H96" s="94">
        <f t="shared" si="30"/>
        <v>43</v>
      </c>
      <c r="I96" s="94">
        <f t="shared" si="30"/>
        <v>43</v>
      </c>
      <c r="J96" s="94">
        <f t="shared" si="30"/>
        <v>43</v>
      </c>
      <c r="K96" s="94">
        <f t="shared" si="30"/>
        <v>43</v>
      </c>
      <c r="L96" s="94">
        <f t="shared" si="30"/>
        <v>43</v>
      </c>
      <c r="M96" s="94">
        <f t="shared" si="30"/>
        <v>43</v>
      </c>
      <c r="N96" s="94">
        <f t="shared" si="30"/>
        <v>43</v>
      </c>
      <c r="O96" s="94">
        <f t="shared" si="30"/>
        <v>43</v>
      </c>
      <c r="P96" s="94">
        <f t="shared" si="30"/>
        <v>43</v>
      </c>
    </row>
    <row r="97" spans="3:16" ht="11.25" customHeight="1" x14ac:dyDescent="0.25">
      <c r="C97" s="51" t="s">
        <v>182</v>
      </c>
      <c r="D97" s="94">
        <f>+'POBLACION DEMANDANTE EFECTIVA'!D57*E86</f>
        <v>69.600000000000009</v>
      </c>
      <c r="E97" s="94">
        <f>ROUND(($D$97*(1+$A$9)^(E94-$D$94)),0)</f>
        <v>70</v>
      </c>
      <c r="F97" s="94">
        <f t="shared" ref="F97:P97" si="31">ROUND(($D$97*(1+$A$9)^(F94-$D$94)),0)</f>
        <v>70</v>
      </c>
      <c r="G97" s="94">
        <f t="shared" si="31"/>
        <v>70</v>
      </c>
      <c r="H97" s="94">
        <f t="shared" si="31"/>
        <v>70</v>
      </c>
      <c r="I97" s="94">
        <f t="shared" si="31"/>
        <v>70</v>
      </c>
      <c r="J97" s="94">
        <f t="shared" si="31"/>
        <v>70</v>
      </c>
      <c r="K97" s="94">
        <f t="shared" si="31"/>
        <v>70</v>
      </c>
      <c r="L97" s="94">
        <f t="shared" si="31"/>
        <v>70</v>
      </c>
      <c r="M97" s="94">
        <f t="shared" si="31"/>
        <v>70</v>
      </c>
      <c r="N97" s="94">
        <f t="shared" si="31"/>
        <v>70</v>
      </c>
      <c r="O97" s="94">
        <f t="shared" si="31"/>
        <v>70</v>
      </c>
      <c r="P97" s="94">
        <f t="shared" si="31"/>
        <v>70</v>
      </c>
    </row>
    <row r="98" spans="3:16" x14ac:dyDescent="0.25">
      <c r="C98" s="51" t="s">
        <v>183</v>
      </c>
      <c r="D98" s="94">
        <f>+'POBLACION DEMANDANTE EFECTIVA'!D58*E87</f>
        <v>52.800000000000004</v>
      </c>
      <c r="E98" s="94">
        <f>ROUND(($D$98*(1+$A$9)^(E94-$D$94)),0)</f>
        <v>53</v>
      </c>
      <c r="F98" s="94">
        <f t="shared" ref="F98:P98" si="32">ROUND(($D$98*(1+$A$9)^(F94-$D$94)),0)</f>
        <v>53</v>
      </c>
      <c r="G98" s="94">
        <f t="shared" si="32"/>
        <v>53</v>
      </c>
      <c r="H98" s="94">
        <f t="shared" si="32"/>
        <v>53</v>
      </c>
      <c r="I98" s="94">
        <f t="shared" si="32"/>
        <v>53</v>
      </c>
      <c r="J98" s="94">
        <f t="shared" si="32"/>
        <v>53</v>
      </c>
      <c r="K98" s="94">
        <f t="shared" si="32"/>
        <v>53</v>
      </c>
      <c r="L98" s="94">
        <f t="shared" si="32"/>
        <v>53</v>
      </c>
      <c r="M98" s="94">
        <f t="shared" si="32"/>
        <v>53</v>
      </c>
      <c r="N98" s="94">
        <f t="shared" si="32"/>
        <v>53</v>
      </c>
      <c r="O98" s="94">
        <f t="shared" si="32"/>
        <v>53</v>
      </c>
      <c r="P98" s="94">
        <f t="shared" si="32"/>
        <v>53</v>
      </c>
    </row>
    <row r="99" spans="3:16" ht="11.25" customHeight="1" x14ac:dyDescent="0.25">
      <c r="C99" s="51" t="s">
        <v>184</v>
      </c>
      <c r="D99" s="94">
        <f>+'POBLACION DEMANDANTE EFECTIVA'!D59*E88</f>
        <v>43.2</v>
      </c>
      <c r="E99" s="94">
        <f>ROUND(($D$99*(1+$A$9)^(E94-$D$94)),0)</f>
        <v>43</v>
      </c>
      <c r="F99" s="94">
        <f t="shared" ref="F99:P99" si="33">ROUND(($D$99*(1+$A$9)^(F94-$D$94)),0)</f>
        <v>43</v>
      </c>
      <c r="G99" s="94">
        <f t="shared" si="33"/>
        <v>43</v>
      </c>
      <c r="H99" s="94">
        <f t="shared" si="33"/>
        <v>43</v>
      </c>
      <c r="I99" s="94">
        <f t="shared" si="33"/>
        <v>43</v>
      </c>
      <c r="J99" s="94">
        <f t="shared" si="33"/>
        <v>43</v>
      </c>
      <c r="K99" s="94">
        <f t="shared" si="33"/>
        <v>43</v>
      </c>
      <c r="L99" s="94">
        <f t="shared" si="33"/>
        <v>43</v>
      </c>
      <c r="M99" s="94">
        <f t="shared" si="33"/>
        <v>43</v>
      </c>
      <c r="N99" s="94">
        <f t="shared" si="33"/>
        <v>43</v>
      </c>
      <c r="O99" s="94">
        <f t="shared" si="33"/>
        <v>43</v>
      </c>
      <c r="P99" s="94">
        <f t="shared" si="33"/>
        <v>43</v>
      </c>
    </row>
    <row r="100" spans="3:16" ht="11.25" customHeight="1" x14ac:dyDescent="0.25">
      <c r="C100" s="51" t="s">
        <v>185</v>
      </c>
      <c r="D100" s="94">
        <f>+'POBLACION DEMANDANTE EFECTIVA'!D60*E89</f>
        <v>36.800000000000004</v>
      </c>
      <c r="E100" s="94">
        <f>ROUND(($D$100*(1+$A$9)^(E94-$D$94)),0)</f>
        <v>37</v>
      </c>
      <c r="F100" s="94">
        <f t="shared" ref="F100:P100" si="34">ROUND(($D$100*(1+$A$9)^(F94-$D$94)),0)</f>
        <v>37</v>
      </c>
      <c r="G100" s="94">
        <f t="shared" si="34"/>
        <v>37</v>
      </c>
      <c r="H100" s="94">
        <f t="shared" si="34"/>
        <v>37</v>
      </c>
      <c r="I100" s="94">
        <f t="shared" si="34"/>
        <v>37</v>
      </c>
      <c r="J100" s="94">
        <f t="shared" si="34"/>
        <v>37</v>
      </c>
      <c r="K100" s="94">
        <f t="shared" si="34"/>
        <v>37</v>
      </c>
      <c r="L100" s="94">
        <f t="shared" si="34"/>
        <v>37</v>
      </c>
      <c r="M100" s="94">
        <f t="shared" si="34"/>
        <v>37</v>
      </c>
      <c r="N100" s="94">
        <f t="shared" si="34"/>
        <v>37</v>
      </c>
      <c r="O100" s="94">
        <f t="shared" si="34"/>
        <v>37</v>
      </c>
      <c r="P100" s="94">
        <f t="shared" si="34"/>
        <v>37</v>
      </c>
    </row>
    <row r="101" spans="3:16" ht="11.25" customHeight="1" x14ac:dyDescent="0.25">
      <c r="C101" s="109" t="s">
        <v>186</v>
      </c>
      <c r="D101" s="94">
        <f>+'POBLACION DEMANDANTE EFECTIVA'!D61*E90</f>
        <v>45.6</v>
      </c>
      <c r="E101" s="94">
        <f t="shared" ref="E101:J101" si="35">ROUND(($D$101*(1+$A$9)^(E94-$D$94)),0)</f>
        <v>46</v>
      </c>
      <c r="F101" s="94">
        <f t="shared" si="35"/>
        <v>46</v>
      </c>
      <c r="G101" s="94">
        <f t="shared" si="35"/>
        <v>46</v>
      </c>
      <c r="H101" s="94">
        <f t="shared" si="35"/>
        <v>46</v>
      </c>
      <c r="I101" s="94">
        <f t="shared" si="35"/>
        <v>46</v>
      </c>
      <c r="J101" s="94">
        <f t="shared" si="35"/>
        <v>46</v>
      </c>
      <c r="K101" s="94">
        <f t="shared" ref="K101:P101" si="36">ROUND(($D$101*(1+$A$9)^(K94-$D$94)),0)</f>
        <v>46</v>
      </c>
      <c r="L101" s="94">
        <f t="shared" si="36"/>
        <v>46</v>
      </c>
      <c r="M101" s="94">
        <f t="shared" si="36"/>
        <v>46</v>
      </c>
      <c r="N101" s="94">
        <f t="shared" si="36"/>
        <v>46</v>
      </c>
      <c r="O101" s="94">
        <f t="shared" si="36"/>
        <v>46</v>
      </c>
      <c r="P101" s="94">
        <f t="shared" si="36"/>
        <v>46</v>
      </c>
    </row>
    <row r="102" spans="3:16" ht="11.25" customHeight="1" x14ac:dyDescent="0.25"/>
    <row r="103" spans="3:16" ht="11.25" customHeight="1" x14ac:dyDescent="0.25">
      <c r="C103" s="275" t="s">
        <v>433</v>
      </c>
      <c r="D103" s="276"/>
      <c r="E103" s="276"/>
      <c r="F103" s="27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</row>
    <row r="104" spans="3:16" ht="40.5" customHeight="1" x14ac:dyDescent="0.25">
      <c r="C104" s="20" t="s">
        <v>212</v>
      </c>
      <c r="D104" s="20" t="s">
        <v>31</v>
      </c>
      <c r="E104" s="239" t="s">
        <v>448</v>
      </c>
      <c r="F104" s="239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</row>
    <row r="105" spans="3:16" s="112" customFormat="1" x14ac:dyDescent="0.25">
      <c r="C105" s="267" t="s">
        <v>215</v>
      </c>
      <c r="D105" s="30" t="s">
        <v>181</v>
      </c>
      <c r="E105" s="268">
        <v>1</v>
      </c>
      <c r="F105" s="269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</row>
    <row r="106" spans="3:16" x14ac:dyDescent="0.25">
      <c r="C106" s="267"/>
      <c r="D106" s="30" t="s">
        <v>182</v>
      </c>
      <c r="E106" s="270">
        <v>1</v>
      </c>
      <c r="F106" s="271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</row>
    <row r="107" spans="3:16" x14ac:dyDescent="0.25">
      <c r="C107" s="267"/>
      <c r="D107" s="30" t="s">
        <v>183</v>
      </c>
      <c r="E107" s="270">
        <v>1</v>
      </c>
      <c r="F107" s="271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</row>
    <row r="108" spans="3:16" x14ac:dyDescent="0.25">
      <c r="C108" s="267"/>
      <c r="D108" s="30" t="s">
        <v>184</v>
      </c>
      <c r="E108" s="270">
        <v>1</v>
      </c>
      <c r="F108" s="271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</row>
    <row r="109" spans="3:16" x14ac:dyDescent="0.25">
      <c r="C109" s="267"/>
      <c r="D109" s="30" t="s">
        <v>185</v>
      </c>
      <c r="E109" s="270">
        <v>1</v>
      </c>
      <c r="F109" s="271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</row>
    <row r="110" spans="3:16" x14ac:dyDescent="0.25">
      <c r="C110" s="267"/>
      <c r="D110" s="30" t="s">
        <v>186</v>
      </c>
      <c r="E110" s="272">
        <v>1</v>
      </c>
      <c r="F110" s="273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</row>
    <row r="111" spans="3:16" x14ac:dyDescent="0.25"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</row>
    <row r="112" spans="3:16" x14ac:dyDescent="0.25">
      <c r="C112" s="252" t="s">
        <v>38</v>
      </c>
      <c r="D112" s="249" t="s">
        <v>143</v>
      </c>
      <c r="E112" s="250"/>
      <c r="F112" s="251"/>
      <c r="G112" s="255" t="s">
        <v>39</v>
      </c>
      <c r="H112" s="255"/>
      <c r="I112" s="255"/>
      <c r="J112" s="255"/>
      <c r="K112" s="255"/>
      <c r="L112" s="255"/>
      <c r="M112" s="255"/>
      <c r="N112" s="255"/>
      <c r="O112" s="255"/>
      <c r="P112" s="255"/>
    </row>
    <row r="113" spans="3:16" x14ac:dyDescent="0.25">
      <c r="C113" s="253"/>
      <c r="D113" s="239">
        <v>0</v>
      </c>
      <c r="E113" s="239"/>
      <c r="F113" s="239"/>
      <c r="G113" s="24">
        <v>1</v>
      </c>
      <c r="H113" s="25">
        <v>2</v>
      </c>
      <c r="I113" s="25">
        <v>3</v>
      </c>
      <c r="J113" s="25">
        <v>4</v>
      </c>
      <c r="K113" s="25">
        <v>5</v>
      </c>
      <c r="L113" s="25">
        <v>6</v>
      </c>
      <c r="M113" s="25">
        <v>7</v>
      </c>
      <c r="N113" s="25">
        <v>8</v>
      </c>
      <c r="O113" s="25">
        <v>9</v>
      </c>
      <c r="P113" s="24">
        <v>10</v>
      </c>
    </row>
    <row r="114" spans="3:16" x14ac:dyDescent="0.25">
      <c r="C114" s="254"/>
      <c r="D114" s="95">
        <f t="shared" ref="D114:P114" si="37">+D94</f>
        <v>2024</v>
      </c>
      <c r="E114" s="95">
        <f t="shared" si="37"/>
        <v>2025</v>
      </c>
      <c r="F114" s="95">
        <f t="shared" si="37"/>
        <v>2026</v>
      </c>
      <c r="G114" s="95">
        <f t="shared" si="37"/>
        <v>2027</v>
      </c>
      <c r="H114" s="95">
        <f t="shared" si="37"/>
        <v>2028</v>
      </c>
      <c r="I114" s="95">
        <f t="shared" si="37"/>
        <v>2029</v>
      </c>
      <c r="J114" s="95">
        <f t="shared" si="37"/>
        <v>2030</v>
      </c>
      <c r="K114" s="95">
        <f t="shared" si="37"/>
        <v>2031</v>
      </c>
      <c r="L114" s="95">
        <f t="shared" si="37"/>
        <v>2032</v>
      </c>
      <c r="M114" s="95">
        <f t="shared" si="37"/>
        <v>2033</v>
      </c>
      <c r="N114" s="95">
        <f t="shared" si="37"/>
        <v>2034</v>
      </c>
      <c r="O114" s="95">
        <f t="shared" si="37"/>
        <v>2035</v>
      </c>
      <c r="P114" s="95">
        <f t="shared" si="37"/>
        <v>2036</v>
      </c>
    </row>
    <row r="115" spans="3:16" ht="25.5" x14ac:dyDescent="0.25">
      <c r="C115" s="28" t="s">
        <v>383</v>
      </c>
      <c r="D115" s="98">
        <f>+SUM(D116:D121)</f>
        <v>291.20000000000005</v>
      </c>
      <c r="E115" s="98">
        <f t="shared" ref="E115:P115" si="38">+SUM(E116:E121)</f>
        <v>292</v>
      </c>
      <c r="F115" s="98">
        <f t="shared" si="38"/>
        <v>292</v>
      </c>
      <c r="G115" s="106">
        <f t="shared" si="38"/>
        <v>292</v>
      </c>
      <c r="H115" s="106">
        <f t="shared" si="38"/>
        <v>292</v>
      </c>
      <c r="I115" s="106">
        <f t="shared" si="38"/>
        <v>292</v>
      </c>
      <c r="J115" s="106">
        <f t="shared" si="38"/>
        <v>292</v>
      </c>
      <c r="K115" s="106">
        <f t="shared" si="38"/>
        <v>292</v>
      </c>
      <c r="L115" s="106">
        <f t="shared" si="38"/>
        <v>292</v>
      </c>
      <c r="M115" s="106">
        <f t="shared" si="38"/>
        <v>292</v>
      </c>
      <c r="N115" s="106">
        <f t="shared" si="38"/>
        <v>292</v>
      </c>
      <c r="O115" s="106">
        <f t="shared" si="38"/>
        <v>292</v>
      </c>
      <c r="P115" s="106">
        <f t="shared" si="38"/>
        <v>292</v>
      </c>
    </row>
    <row r="116" spans="3:16" x14ac:dyDescent="0.25">
      <c r="C116" s="105" t="s">
        <v>181</v>
      </c>
      <c r="D116" s="94">
        <f>+'POBLACION DEMANDANTE EFECTIVA'!D68*E105</f>
        <v>43.2</v>
      </c>
      <c r="E116" s="94">
        <f>ROUND(($D$116*(1+$A$9)^(E114-$D$114)),0)</f>
        <v>43</v>
      </c>
      <c r="F116" s="94">
        <f>ROUND(($D$116*(1+$A$9)^(F114-$D$114)),0)</f>
        <v>43</v>
      </c>
      <c r="G116" s="94">
        <f t="shared" ref="G116:P116" si="39">ROUND(($D$116*(1+$A$9)^(G114-$D$114)),0)</f>
        <v>43</v>
      </c>
      <c r="H116" s="94">
        <f t="shared" si="39"/>
        <v>43</v>
      </c>
      <c r="I116" s="94">
        <f t="shared" si="39"/>
        <v>43</v>
      </c>
      <c r="J116" s="94">
        <f t="shared" si="39"/>
        <v>43</v>
      </c>
      <c r="K116" s="94">
        <f t="shared" si="39"/>
        <v>43</v>
      </c>
      <c r="L116" s="94">
        <f t="shared" si="39"/>
        <v>43</v>
      </c>
      <c r="M116" s="94">
        <f t="shared" si="39"/>
        <v>43</v>
      </c>
      <c r="N116" s="94">
        <f t="shared" si="39"/>
        <v>43</v>
      </c>
      <c r="O116" s="94">
        <f t="shared" si="39"/>
        <v>43</v>
      </c>
      <c r="P116" s="94">
        <f t="shared" si="39"/>
        <v>43</v>
      </c>
    </row>
    <row r="117" spans="3:16" x14ac:dyDescent="0.25">
      <c r="C117" s="51" t="s">
        <v>182</v>
      </c>
      <c r="D117" s="94">
        <f>+'POBLACION DEMANDANTE EFECTIVA'!D69*E106</f>
        <v>69.600000000000009</v>
      </c>
      <c r="E117" s="94">
        <f>ROUND(($D$117*(1+$A$9)^(E114-$D$114)),0)</f>
        <v>70</v>
      </c>
      <c r="F117" s="94">
        <f>ROUND(($D$117*(1+$A$9)^(F114-$D$114)),0)</f>
        <v>70</v>
      </c>
      <c r="G117" s="94">
        <f t="shared" ref="G117:P117" si="40">ROUND(($D$117*(1+$A$9)^(G114-$D$114)),0)</f>
        <v>70</v>
      </c>
      <c r="H117" s="94">
        <f t="shared" si="40"/>
        <v>70</v>
      </c>
      <c r="I117" s="94">
        <f t="shared" si="40"/>
        <v>70</v>
      </c>
      <c r="J117" s="94">
        <f t="shared" si="40"/>
        <v>70</v>
      </c>
      <c r="K117" s="94">
        <f t="shared" si="40"/>
        <v>70</v>
      </c>
      <c r="L117" s="94">
        <f t="shared" si="40"/>
        <v>70</v>
      </c>
      <c r="M117" s="94">
        <f t="shared" si="40"/>
        <v>70</v>
      </c>
      <c r="N117" s="94">
        <f t="shared" si="40"/>
        <v>70</v>
      </c>
      <c r="O117" s="94">
        <f t="shared" si="40"/>
        <v>70</v>
      </c>
      <c r="P117" s="94">
        <f t="shared" si="40"/>
        <v>70</v>
      </c>
    </row>
    <row r="118" spans="3:16" x14ac:dyDescent="0.25">
      <c r="C118" s="51" t="s">
        <v>183</v>
      </c>
      <c r="D118" s="94">
        <f>+'POBLACION DEMANDANTE EFECTIVA'!D70*E107</f>
        <v>52.800000000000004</v>
      </c>
      <c r="E118" s="94">
        <f>ROUND(($D$118*(1+$A$9)^(E114-$D$114)),0)</f>
        <v>53</v>
      </c>
      <c r="F118" s="94">
        <f t="shared" ref="F118:P118" si="41">ROUND(($D$118*(1+$A$9)^(F114-$D$114)),0)</f>
        <v>53</v>
      </c>
      <c r="G118" s="94">
        <f t="shared" si="41"/>
        <v>53</v>
      </c>
      <c r="H118" s="94">
        <f t="shared" si="41"/>
        <v>53</v>
      </c>
      <c r="I118" s="94">
        <f t="shared" si="41"/>
        <v>53</v>
      </c>
      <c r="J118" s="94">
        <f t="shared" si="41"/>
        <v>53</v>
      </c>
      <c r="K118" s="94">
        <f t="shared" si="41"/>
        <v>53</v>
      </c>
      <c r="L118" s="94">
        <f t="shared" si="41"/>
        <v>53</v>
      </c>
      <c r="M118" s="94">
        <f t="shared" si="41"/>
        <v>53</v>
      </c>
      <c r="N118" s="94">
        <f t="shared" si="41"/>
        <v>53</v>
      </c>
      <c r="O118" s="94">
        <f t="shared" si="41"/>
        <v>53</v>
      </c>
      <c r="P118" s="94">
        <f t="shared" si="41"/>
        <v>53</v>
      </c>
    </row>
    <row r="119" spans="3:16" x14ac:dyDescent="0.25">
      <c r="C119" s="51" t="s">
        <v>184</v>
      </c>
      <c r="D119" s="94">
        <f>+'POBLACION DEMANDANTE EFECTIVA'!D71*E108</f>
        <v>43.2</v>
      </c>
      <c r="E119" s="94">
        <f>ROUND(($D$119*(1+$A$9)^(E114-$D$114)),0)</f>
        <v>43</v>
      </c>
      <c r="F119" s="94">
        <f t="shared" ref="F119:P119" si="42">ROUND(($D$119*(1+$A$9)^(F114-$D$114)),0)</f>
        <v>43</v>
      </c>
      <c r="G119" s="94">
        <f t="shared" si="42"/>
        <v>43</v>
      </c>
      <c r="H119" s="94">
        <f t="shared" si="42"/>
        <v>43</v>
      </c>
      <c r="I119" s="94">
        <f t="shared" si="42"/>
        <v>43</v>
      </c>
      <c r="J119" s="94">
        <f t="shared" si="42"/>
        <v>43</v>
      </c>
      <c r="K119" s="94">
        <f t="shared" si="42"/>
        <v>43</v>
      </c>
      <c r="L119" s="94">
        <f t="shared" si="42"/>
        <v>43</v>
      </c>
      <c r="M119" s="94">
        <f t="shared" si="42"/>
        <v>43</v>
      </c>
      <c r="N119" s="94">
        <f t="shared" si="42"/>
        <v>43</v>
      </c>
      <c r="O119" s="94">
        <f t="shared" si="42"/>
        <v>43</v>
      </c>
      <c r="P119" s="94">
        <f t="shared" si="42"/>
        <v>43</v>
      </c>
    </row>
    <row r="120" spans="3:16" ht="15" customHeight="1" x14ac:dyDescent="0.25">
      <c r="C120" s="51" t="s">
        <v>185</v>
      </c>
      <c r="D120" s="94">
        <f>+'POBLACION DEMANDANTE EFECTIVA'!D72*E109</f>
        <v>36.800000000000004</v>
      </c>
      <c r="E120" s="94">
        <f>ROUND(($D$120*(1+$A$9)^(E114-$D$114)),0)</f>
        <v>37</v>
      </c>
      <c r="F120" s="94">
        <f t="shared" ref="F120:P120" si="43">ROUND(($D$120*(1+$A$9)^(F114-$D$114)),0)</f>
        <v>37</v>
      </c>
      <c r="G120" s="94">
        <f t="shared" si="43"/>
        <v>37</v>
      </c>
      <c r="H120" s="94">
        <f t="shared" si="43"/>
        <v>37</v>
      </c>
      <c r="I120" s="94">
        <f t="shared" si="43"/>
        <v>37</v>
      </c>
      <c r="J120" s="94">
        <f t="shared" si="43"/>
        <v>37</v>
      </c>
      <c r="K120" s="94">
        <f t="shared" si="43"/>
        <v>37</v>
      </c>
      <c r="L120" s="94">
        <f t="shared" si="43"/>
        <v>37</v>
      </c>
      <c r="M120" s="94">
        <f t="shared" si="43"/>
        <v>37</v>
      </c>
      <c r="N120" s="94">
        <f t="shared" si="43"/>
        <v>37</v>
      </c>
      <c r="O120" s="94">
        <f t="shared" si="43"/>
        <v>37</v>
      </c>
      <c r="P120" s="94">
        <f t="shared" si="43"/>
        <v>37</v>
      </c>
    </row>
    <row r="121" spans="3:16" x14ac:dyDescent="0.25">
      <c r="C121" s="109" t="s">
        <v>186</v>
      </c>
      <c r="D121" s="94">
        <f>+'POBLACION DEMANDANTE EFECTIVA'!D73*E110</f>
        <v>45.6</v>
      </c>
      <c r="E121" s="94">
        <f>ROUND(($D$121*(1+$A$9)^(E114-$D$114)),0)</f>
        <v>46</v>
      </c>
      <c r="F121" s="94">
        <f t="shared" ref="F121:P121" si="44">ROUND(($D$121*(1+$A$9)^(F114-$D$114)),0)</f>
        <v>46</v>
      </c>
      <c r="G121" s="94">
        <f t="shared" si="44"/>
        <v>46</v>
      </c>
      <c r="H121" s="94">
        <f t="shared" si="44"/>
        <v>46</v>
      </c>
      <c r="I121" s="94">
        <f t="shared" si="44"/>
        <v>46</v>
      </c>
      <c r="J121" s="94">
        <f t="shared" si="44"/>
        <v>46</v>
      </c>
      <c r="K121" s="94">
        <f t="shared" si="44"/>
        <v>46</v>
      </c>
      <c r="L121" s="94">
        <f t="shared" si="44"/>
        <v>46</v>
      </c>
      <c r="M121" s="94">
        <f t="shared" si="44"/>
        <v>46</v>
      </c>
      <c r="N121" s="94">
        <f t="shared" si="44"/>
        <v>46</v>
      </c>
      <c r="O121" s="94">
        <f t="shared" si="44"/>
        <v>46</v>
      </c>
      <c r="P121" s="94">
        <f t="shared" si="44"/>
        <v>46</v>
      </c>
    </row>
    <row r="123" spans="3:16" x14ac:dyDescent="0.25">
      <c r="C123" s="267" t="s">
        <v>433</v>
      </c>
      <c r="D123" s="267"/>
      <c r="E123" s="267"/>
      <c r="F123" s="26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</row>
    <row r="124" spans="3:16" ht="43.5" customHeight="1" x14ac:dyDescent="0.25">
      <c r="C124" s="26" t="s">
        <v>212</v>
      </c>
      <c r="D124" s="26" t="s">
        <v>31</v>
      </c>
      <c r="E124" s="239" t="s">
        <v>448</v>
      </c>
      <c r="F124" s="239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</row>
    <row r="125" spans="3:16" x14ac:dyDescent="0.25">
      <c r="C125" s="267" t="s">
        <v>216</v>
      </c>
      <c r="D125" s="94" t="s">
        <v>187</v>
      </c>
      <c r="E125" s="268">
        <v>1</v>
      </c>
      <c r="F125" s="269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</row>
    <row r="126" spans="3:16" x14ac:dyDescent="0.25">
      <c r="C126" s="267"/>
      <c r="D126" s="94" t="s">
        <v>150</v>
      </c>
      <c r="E126" s="270">
        <v>1</v>
      </c>
      <c r="F126" s="271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</row>
    <row r="127" spans="3:16" x14ac:dyDescent="0.25">
      <c r="C127" s="267"/>
      <c r="D127" s="94" t="s">
        <v>188</v>
      </c>
      <c r="E127" s="270">
        <v>1</v>
      </c>
      <c r="F127" s="271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</row>
    <row r="128" spans="3:16" x14ac:dyDescent="0.25">
      <c r="C128" s="267"/>
      <c r="D128" s="94" t="s">
        <v>189</v>
      </c>
      <c r="E128" s="270">
        <v>1</v>
      </c>
      <c r="F128" s="271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</row>
    <row r="129" spans="3:16" x14ac:dyDescent="0.25">
      <c r="C129" s="267"/>
      <c r="D129" s="94" t="s">
        <v>220</v>
      </c>
      <c r="E129" s="270">
        <v>1</v>
      </c>
      <c r="F129" s="271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</row>
    <row r="130" spans="3:16" x14ac:dyDescent="0.25">
      <c r="C130" s="267"/>
      <c r="D130" s="94" t="s">
        <v>221</v>
      </c>
      <c r="E130" s="272">
        <v>1</v>
      </c>
      <c r="F130" s="273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</row>
    <row r="131" spans="3:16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3:16" x14ac:dyDescent="0.25">
      <c r="C132" s="252" t="s">
        <v>38</v>
      </c>
      <c r="D132" s="249" t="s">
        <v>143</v>
      </c>
      <c r="E132" s="250"/>
      <c r="F132" s="251"/>
      <c r="G132" s="255" t="s">
        <v>39</v>
      </c>
      <c r="H132" s="255"/>
      <c r="I132" s="255"/>
      <c r="J132" s="255"/>
      <c r="K132" s="255"/>
      <c r="L132" s="255"/>
      <c r="M132" s="255"/>
      <c r="N132" s="255"/>
      <c r="O132" s="255"/>
      <c r="P132" s="255"/>
    </row>
    <row r="133" spans="3:16" x14ac:dyDescent="0.25">
      <c r="C133" s="253"/>
      <c r="D133" s="239">
        <v>0</v>
      </c>
      <c r="E133" s="239"/>
      <c r="F133" s="239"/>
      <c r="G133" s="24">
        <v>1</v>
      </c>
      <c r="H133" s="25">
        <v>2</v>
      </c>
      <c r="I133" s="25">
        <v>3</v>
      </c>
      <c r="J133" s="25">
        <v>4</v>
      </c>
      <c r="K133" s="25">
        <v>5</v>
      </c>
      <c r="L133" s="25">
        <v>6</v>
      </c>
      <c r="M133" s="25">
        <v>7</v>
      </c>
      <c r="N133" s="25">
        <v>8</v>
      </c>
      <c r="O133" s="25">
        <v>9</v>
      </c>
      <c r="P133" s="24">
        <v>10</v>
      </c>
    </row>
    <row r="134" spans="3:16" x14ac:dyDescent="0.25">
      <c r="C134" s="254"/>
      <c r="D134" s="95">
        <f t="shared" ref="D134:P134" si="45">+D114</f>
        <v>2024</v>
      </c>
      <c r="E134" s="95">
        <f t="shared" si="45"/>
        <v>2025</v>
      </c>
      <c r="F134" s="95">
        <f t="shared" si="45"/>
        <v>2026</v>
      </c>
      <c r="G134" s="95">
        <f t="shared" si="45"/>
        <v>2027</v>
      </c>
      <c r="H134" s="95">
        <f t="shared" si="45"/>
        <v>2028</v>
      </c>
      <c r="I134" s="95">
        <f t="shared" si="45"/>
        <v>2029</v>
      </c>
      <c r="J134" s="95">
        <f t="shared" si="45"/>
        <v>2030</v>
      </c>
      <c r="K134" s="95">
        <f t="shared" si="45"/>
        <v>2031</v>
      </c>
      <c r="L134" s="95">
        <f t="shared" si="45"/>
        <v>2032</v>
      </c>
      <c r="M134" s="95">
        <f t="shared" si="45"/>
        <v>2033</v>
      </c>
      <c r="N134" s="95">
        <f t="shared" si="45"/>
        <v>2034</v>
      </c>
      <c r="O134" s="95">
        <f t="shared" si="45"/>
        <v>2035</v>
      </c>
      <c r="P134" s="95">
        <f t="shared" si="45"/>
        <v>2036</v>
      </c>
    </row>
    <row r="135" spans="3:16" ht="25.5" x14ac:dyDescent="0.25">
      <c r="C135" s="28" t="s">
        <v>243</v>
      </c>
      <c r="D135" s="98">
        <f>+SUM(D136:D141)</f>
        <v>31.200000000000003</v>
      </c>
      <c r="E135" s="98">
        <f>+SUM(E136:E141)</f>
        <v>32</v>
      </c>
      <c r="F135" s="98">
        <f t="shared" ref="F135:P135" si="46">+SUM(F136:F141)</f>
        <v>32</v>
      </c>
      <c r="G135" s="106">
        <f t="shared" si="46"/>
        <v>32</v>
      </c>
      <c r="H135" s="106">
        <f t="shared" si="46"/>
        <v>32</v>
      </c>
      <c r="I135" s="106">
        <f t="shared" si="46"/>
        <v>32</v>
      </c>
      <c r="J135" s="106">
        <f t="shared" si="46"/>
        <v>32</v>
      </c>
      <c r="K135" s="106">
        <f t="shared" si="46"/>
        <v>32</v>
      </c>
      <c r="L135" s="106">
        <f t="shared" si="46"/>
        <v>32</v>
      </c>
      <c r="M135" s="106">
        <f t="shared" si="46"/>
        <v>32</v>
      </c>
      <c r="N135" s="106">
        <f t="shared" si="46"/>
        <v>32</v>
      </c>
      <c r="O135" s="106">
        <f t="shared" si="46"/>
        <v>32</v>
      </c>
      <c r="P135" s="106">
        <f t="shared" si="46"/>
        <v>32</v>
      </c>
    </row>
    <row r="136" spans="3:16" x14ac:dyDescent="0.25">
      <c r="C136" s="105" t="s">
        <v>187</v>
      </c>
      <c r="D136" s="94">
        <f>+'POBLACION DEMANDANTE EFECTIVA'!D79*E125</f>
        <v>5.6000000000000005</v>
      </c>
      <c r="E136" s="94">
        <f>ROUND(($D$136*(1+$A$9)^(E134-$D$134)),0)</f>
        <v>6</v>
      </c>
      <c r="F136" s="94">
        <f>ROUND(($D$136*(1+$A$9)^(F134-$D$134)),0)</f>
        <v>6</v>
      </c>
      <c r="G136" s="94">
        <f t="shared" ref="G136:P136" si="47">ROUND(($D$136*(1+$A$9)^(G134-$D$134)),0)</f>
        <v>6</v>
      </c>
      <c r="H136" s="94">
        <f t="shared" si="47"/>
        <v>6</v>
      </c>
      <c r="I136" s="94">
        <f t="shared" si="47"/>
        <v>6</v>
      </c>
      <c r="J136" s="94">
        <f t="shared" si="47"/>
        <v>6</v>
      </c>
      <c r="K136" s="94">
        <f t="shared" si="47"/>
        <v>6</v>
      </c>
      <c r="L136" s="94">
        <f t="shared" si="47"/>
        <v>6</v>
      </c>
      <c r="M136" s="94">
        <f t="shared" si="47"/>
        <v>6</v>
      </c>
      <c r="N136" s="94">
        <f t="shared" si="47"/>
        <v>6</v>
      </c>
      <c r="O136" s="94">
        <f t="shared" si="47"/>
        <v>6</v>
      </c>
      <c r="P136" s="94">
        <f t="shared" si="47"/>
        <v>6</v>
      </c>
    </row>
    <row r="137" spans="3:16" x14ac:dyDescent="0.25">
      <c r="C137" s="51" t="s">
        <v>150</v>
      </c>
      <c r="D137" s="94">
        <f>+'POBLACION DEMANDANTE EFECTIVA'!D80*E126</f>
        <v>7.2</v>
      </c>
      <c r="E137" s="94">
        <f>ROUND(($D$137*(1+$A$9)^(E134-$D$134)),0)</f>
        <v>7</v>
      </c>
      <c r="F137" s="94">
        <f t="shared" ref="F137:P137" si="48">ROUND(($D$137*(1+$A$9)^(F134-$D$134)),0)</f>
        <v>7</v>
      </c>
      <c r="G137" s="94">
        <f t="shared" si="48"/>
        <v>7</v>
      </c>
      <c r="H137" s="94">
        <f t="shared" si="48"/>
        <v>7</v>
      </c>
      <c r="I137" s="94">
        <f t="shared" si="48"/>
        <v>7</v>
      </c>
      <c r="J137" s="94">
        <f t="shared" si="48"/>
        <v>7</v>
      </c>
      <c r="K137" s="94">
        <f t="shared" si="48"/>
        <v>7</v>
      </c>
      <c r="L137" s="94">
        <f t="shared" si="48"/>
        <v>7</v>
      </c>
      <c r="M137" s="94">
        <f t="shared" si="48"/>
        <v>7</v>
      </c>
      <c r="N137" s="94">
        <f t="shared" si="48"/>
        <v>7</v>
      </c>
      <c r="O137" s="94">
        <f t="shared" si="48"/>
        <v>7</v>
      </c>
      <c r="P137" s="94">
        <f t="shared" si="48"/>
        <v>7</v>
      </c>
    </row>
    <row r="138" spans="3:16" x14ac:dyDescent="0.25">
      <c r="C138" s="51" t="s">
        <v>188</v>
      </c>
      <c r="D138" s="94">
        <f>+'POBLACION DEMANDANTE EFECTIVA'!D81*E127</f>
        <v>5.6000000000000005</v>
      </c>
      <c r="E138" s="94">
        <f>ROUND(($D$138*(1+$A$9)^(E134-$D$134)),0)</f>
        <v>6</v>
      </c>
      <c r="F138" s="94">
        <f>ROUND(($D$138*(1+$A$9)^(F134-$D$134)),0)</f>
        <v>6</v>
      </c>
      <c r="G138" s="94">
        <f t="shared" ref="G138:P138" si="49">ROUND(($D$138*(1+$A$9)^(G134-$D$134)),0)</f>
        <v>6</v>
      </c>
      <c r="H138" s="94">
        <f t="shared" si="49"/>
        <v>6</v>
      </c>
      <c r="I138" s="94">
        <f t="shared" si="49"/>
        <v>6</v>
      </c>
      <c r="J138" s="94">
        <f t="shared" si="49"/>
        <v>6</v>
      </c>
      <c r="K138" s="94">
        <f t="shared" si="49"/>
        <v>6</v>
      </c>
      <c r="L138" s="94">
        <f t="shared" si="49"/>
        <v>6</v>
      </c>
      <c r="M138" s="94">
        <f t="shared" si="49"/>
        <v>6</v>
      </c>
      <c r="N138" s="94">
        <f t="shared" si="49"/>
        <v>6</v>
      </c>
      <c r="O138" s="94">
        <f t="shared" si="49"/>
        <v>6</v>
      </c>
      <c r="P138" s="94">
        <f t="shared" si="49"/>
        <v>6</v>
      </c>
    </row>
    <row r="139" spans="3:16" x14ac:dyDescent="0.25">
      <c r="C139" s="51" t="s">
        <v>189</v>
      </c>
      <c r="D139" s="94">
        <f>+'POBLACION DEMANDANTE EFECTIVA'!D82*E128</f>
        <v>4</v>
      </c>
      <c r="E139" s="94">
        <f>ROUND(($D$139*(1+$A$9)^(E134-$D$134)),0)</f>
        <v>4</v>
      </c>
      <c r="F139" s="94">
        <f>ROUND(($D$139*(1+$A$9)^(F134-$D$134)),0)</f>
        <v>4</v>
      </c>
      <c r="G139" s="94">
        <f>ROUND(($D$139*(1+$A$9)^(G134-$D$134)),0)</f>
        <v>4</v>
      </c>
      <c r="H139" s="94">
        <f t="shared" ref="H139:P139" si="50">ROUND(($D$139*(1+$A$9)^(H134-$D$134)),0)</f>
        <v>4</v>
      </c>
      <c r="I139" s="94">
        <f t="shared" si="50"/>
        <v>4</v>
      </c>
      <c r="J139" s="94">
        <f t="shared" si="50"/>
        <v>4</v>
      </c>
      <c r="K139" s="94">
        <f t="shared" si="50"/>
        <v>4</v>
      </c>
      <c r="L139" s="94">
        <f t="shared" si="50"/>
        <v>4</v>
      </c>
      <c r="M139" s="94">
        <f t="shared" si="50"/>
        <v>4</v>
      </c>
      <c r="N139" s="94">
        <f t="shared" si="50"/>
        <v>4</v>
      </c>
      <c r="O139" s="94">
        <f t="shared" si="50"/>
        <v>4</v>
      </c>
      <c r="P139" s="94">
        <f t="shared" si="50"/>
        <v>4</v>
      </c>
    </row>
    <row r="140" spans="3:16" x14ac:dyDescent="0.25">
      <c r="C140" s="51" t="s">
        <v>220</v>
      </c>
      <c r="D140" s="94">
        <f>+'POBLACION DEMANDANTE EFECTIVA'!D83*E129</f>
        <v>4.8000000000000007</v>
      </c>
      <c r="E140" s="94">
        <f>ROUND(($D$140*(1+$A$9)^(E134-$D$134)),0)</f>
        <v>5</v>
      </c>
      <c r="F140" s="94">
        <f t="shared" ref="F140:P140" si="51">ROUND(($D$140*(1+$A$9)^(F134-$D$134)),0)</f>
        <v>5</v>
      </c>
      <c r="G140" s="94">
        <f t="shared" si="51"/>
        <v>5</v>
      </c>
      <c r="H140" s="94">
        <f t="shared" si="51"/>
        <v>5</v>
      </c>
      <c r="I140" s="94">
        <f t="shared" si="51"/>
        <v>5</v>
      </c>
      <c r="J140" s="94">
        <f t="shared" si="51"/>
        <v>5</v>
      </c>
      <c r="K140" s="94">
        <f t="shared" si="51"/>
        <v>5</v>
      </c>
      <c r="L140" s="94">
        <f t="shared" si="51"/>
        <v>5</v>
      </c>
      <c r="M140" s="94">
        <f t="shared" si="51"/>
        <v>5</v>
      </c>
      <c r="N140" s="94">
        <f t="shared" si="51"/>
        <v>5</v>
      </c>
      <c r="O140" s="94">
        <f t="shared" si="51"/>
        <v>5</v>
      </c>
      <c r="P140" s="94">
        <f t="shared" si="51"/>
        <v>5</v>
      </c>
    </row>
    <row r="141" spans="3:16" x14ac:dyDescent="0.25">
      <c r="C141" s="109" t="s">
        <v>221</v>
      </c>
      <c r="D141" s="94">
        <f>+'POBLACION DEMANDANTE EFECTIVA'!D84*E130</f>
        <v>4</v>
      </c>
      <c r="E141" s="94">
        <f t="shared" ref="E141:L141" si="52">ROUND(($D$141*(1+$A$9)^(E134-$D$134)),0)</f>
        <v>4</v>
      </c>
      <c r="F141" s="94">
        <f t="shared" si="52"/>
        <v>4</v>
      </c>
      <c r="G141" s="94">
        <f t="shared" si="52"/>
        <v>4</v>
      </c>
      <c r="H141" s="94">
        <f t="shared" si="52"/>
        <v>4</v>
      </c>
      <c r="I141" s="94">
        <f t="shared" si="52"/>
        <v>4</v>
      </c>
      <c r="J141" s="94">
        <f t="shared" si="52"/>
        <v>4</v>
      </c>
      <c r="K141" s="94">
        <f t="shared" si="52"/>
        <v>4</v>
      </c>
      <c r="L141" s="94">
        <f t="shared" si="52"/>
        <v>4</v>
      </c>
      <c r="M141" s="94">
        <f t="shared" ref="M141:P141" si="53">ROUND(($D$141*(1+$A$9)^(M134-$D$134)),0)</f>
        <v>4</v>
      </c>
      <c r="N141" s="94">
        <f t="shared" si="53"/>
        <v>4</v>
      </c>
      <c r="O141" s="94">
        <f t="shared" si="53"/>
        <v>4</v>
      </c>
      <c r="P141" s="94">
        <f t="shared" si="53"/>
        <v>4</v>
      </c>
    </row>
    <row r="143" spans="3:16" x14ac:dyDescent="0.25">
      <c r="C143" s="275" t="s">
        <v>35</v>
      </c>
      <c r="D143" s="276"/>
      <c r="E143" s="276"/>
      <c r="F143" s="27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</row>
    <row r="144" spans="3:16" ht="39.75" customHeight="1" x14ac:dyDescent="0.25">
      <c r="C144" s="26" t="s">
        <v>30</v>
      </c>
      <c r="D144" s="26" t="s">
        <v>31</v>
      </c>
      <c r="E144" s="249" t="s">
        <v>448</v>
      </c>
      <c r="F144" s="251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</row>
    <row r="145" spans="3:16" x14ac:dyDescent="0.25">
      <c r="C145" s="267" t="s">
        <v>190</v>
      </c>
      <c r="D145" s="109" t="s">
        <v>181</v>
      </c>
      <c r="E145" s="268">
        <v>1</v>
      </c>
      <c r="F145" s="269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</row>
    <row r="146" spans="3:16" x14ac:dyDescent="0.25">
      <c r="C146" s="267"/>
      <c r="D146" s="30" t="s">
        <v>182</v>
      </c>
      <c r="E146" s="270">
        <v>1</v>
      </c>
      <c r="F146" s="271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</row>
    <row r="147" spans="3:16" x14ac:dyDescent="0.25">
      <c r="C147" s="267"/>
      <c r="D147" s="30" t="s">
        <v>183</v>
      </c>
      <c r="E147" s="270">
        <v>1</v>
      </c>
      <c r="F147" s="271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</row>
    <row r="148" spans="3:16" x14ac:dyDescent="0.25">
      <c r="C148" s="267"/>
      <c r="D148" s="30" t="s">
        <v>184</v>
      </c>
      <c r="E148" s="270">
        <v>1</v>
      </c>
      <c r="F148" s="271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</row>
    <row r="149" spans="3:16" x14ac:dyDescent="0.25">
      <c r="C149" s="267"/>
      <c r="D149" s="30" t="s">
        <v>185</v>
      </c>
      <c r="E149" s="270">
        <v>1</v>
      </c>
      <c r="F149" s="271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</row>
    <row r="150" spans="3:16" x14ac:dyDescent="0.25">
      <c r="C150" s="267"/>
      <c r="D150" s="109" t="s">
        <v>186</v>
      </c>
      <c r="E150" s="272">
        <v>1</v>
      </c>
      <c r="F150" s="273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</row>
    <row r="151" spans="3:16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3:16" x14ac:dyDescent="0.25">
      <c r="C152" s="239" t="s">
        <v>24</v>
      </c>
      <c r="D152" s="249" t="s">
        <v>143</v>
      </c>
      <c r="E152" s="250"/>
      <c r="F152" s="251"/>
      <c r="G152" s="255" t="s">
        <v>39</v>
      </c>
      <c r="H152" s="255"/>
      <c r="I152" s="255"/>
      <c r="J152" s="255"/>
      <c r="K152" s="255"/>
      <c r="L152" s="255"/>
      <c r="M152" s="255"/>
      <c r="N152" s="255"/>
      <c r="O152" s="255"/>
      <c r="P152" s="255"/>
    </row>
    <row r="153" spans="3:16" x14ac:dyDescent="0.25">
      <c r="C153" s="239"/>
      <c r="D153" s="259">
        <v>0</v>
      </c>
      <c r="E153" s="260"/>
      <c r="F153" s="261"/>
      <c r="G153" s="24">
        <v>1</v>
      </c>
      <c r="H153" s="24">
        <v>2</v>
      </c>
      <c r="I153" s="24">
        <v>3</v>
      </c>
      <c r="J153" s="24">
        <v>4</v>
      </c>
      <c r="K153" s="24">
        <v>5</v>
      </c>
      <c r="L153" s="24">
        <v>6</v>
      </c>
      <c r="M153" s="24">
        <v>7</v>
      </c>
      <c r="N153" s="24">
        <v>8</v>
      </c>
      <c r="O153" s="24">
        <v>9</v>
      </c>
      <c r="P153" s="24">
        <v>10</v>
      </c>
    </row>
    <row r="154" spans="3:16" x14ac:dyDescent="0.25">
      <c r="C154" s="239"/>
      <c r="D154" s="20">
        <v>2024</v>
      </c>
      <c r="E154" s="20">
        <v>2025</v>
      </c>
      <c r="F154" s="20">
        <v>2026</v>
      </c>
      <c r="G154" s="20">
        <v>2027</v>
      </c>
      <c r="H154" s="20">
        <v>2028</v>
      </c>
      <c r="I154" s="20">
        <v>2029</v>
      </c>
      <c r="J154" s="20">
        <v>2030</v>
      </c>
      <c r="K154" s="20">
        <v>2031</v>
      </c>
      <c r="L154" s="20">
        <v>2032</v>
      </c>
      <c r="M154" s="20">
        <v>2033</v>
      </c>
      <c r="N154" s="20">
        <v>2034</v>
      </c>
      <c r="O154" s="20">
        <v>2035</v>
      </c>
      <c r="P154" s="20">
        <v>2036</v>
      </c>
    </row>
    <row r="155" spans="3:16" ht="20.25" customHeight="1" x14ac:dyDescent="0.25">
      <c r="C155" s="115" t="s">
        <v>190</v>
      </c>
      <c r="D155" s="97">
        <f>SUM(D156:D161)</f>
        <v>291.20000000000005</v>
      </c>
      <c r="E155" s="97">
        <f>SUM(E156:E161)</f>
        <v>292</v>
      </c>
      <c r="F155" s="97">
        <f>SUM(F156:F161)</f>
        <v>292</v>
      </c>
      <c r="G155" s="97">
        <f t="shared" ref="G155:P155" si="54">SUM(G156:G161)</f>
        <v>292</v>
      </c>
      <c r="H155" s="97">
        <f t="shared" si="54"/>
        <v>292</v>
      </c>
      <c r="I155" s="97">
        <f t="shared" si="54"/>
        <v>292</v>
      </c>
      <c r="J155" s="97">
        <f t="shared" si="54"/>
        <v>292</v>
      </c>
      <c r="K155" s="97">
        <f t="shared" si="54"/>
        <v>292</v>
      </c>
      <c r="L155" s="97">
        <f t="shared" si="54"/>
        <v>292</v>
      </c>
      <c r="M155" s="97">
        <f t="shared" si="54"/>
        <v>292</v>
      </c>
      <c r="N155" s="97">
        <f t="shared" si="54"/>
        <v>292</v>
      </c>
      <c r="O155" s="97">
        <f t="shared" si="54"/>
        <v>292</v>
      </c>
      <c r="P155" s="97">
        <f t="shared" si="54"/>
        <v>292</v>
      </c>
    </row>
    <row r="156" spans="3:16" x14ac:dyDescent="0.25">
      <c r="C156" s="105" t="s">
        <v>181</v>
      </c>
      <c r="D156" s="96">
        <f>+'POBLACION DEMANDANTE EFECTIVA'!D90*E145</f>
        <v>43.2</v>
      </c>
      <c r="E156" s="96">
        <f>ROUND(($D$156*(1+$A$9)^(E154-$D$154)),0)</f>
        <v>43</v>
      </c>
      <c r="F156" s="96">
        <f>ROUND(($D$156*(1+$A$9)^(F154-$D$154)),0)</f>
        <v>43</v>
      </c>
      <c r="G156" s="96">
        <f t="shared" ref="G156:P156" si="55">ROUND(($D$156*(1+$A$9)^(G154-$D$154)),0)</f>
        <v>43</v>
      </c>
      <c r="H156" s="96">
        <f t="shared" si="55"/>
        <v>43</v>
      </c>
      <c r="I156" s="96">
        <f t="shared" si="55"/>
        <v>43</v>
      </c>
      <c r="J156" s="96">
        <f t="shared" si="55"/>
        <v>43</v>
      </c>
      <c r="K156" s="96">
        <f t="shared" si="55"/>
        <v>43</v>
      </c>
      <c r="L156" s="96">
        <f t="shared" si="55"/>
        <v>43</v>
      </c>
      <c r="M156" s="96">
        <f t="shared" si="55"/>
        <v>43</v>
      </c>
      <c r="N156" s="96">
        <f t="shared" si="55"/>
        <v>43</v>
      </c>
      <c r="O156" s="96">
        <f t="shared" si="55"/>
        <v>43</v>
      </c>
      <c r="P156" s="96">
        <f t="shared" si="55"/>
        <v>43</v>
      </c>
    </row>
    <row r="157" spans="3:16" x14ac:dyDescent="0.25">
      <c r="C157" s="51" t="s">
        <v>182</v>
      </c>
      <c r="D157" s="96">
        <f>+'POBLACION DEMANDANTE EFECTIVA'!D91*E146</f>
        <v>69.600000000000009</v>
      </c>
      <c r="E157" s="96">
        <f>ROUND(($D$157*(1+$A$9)^(E154-$D$154)),0)</f>
        <v>70</v>
      </c>
      <c r="F157" s="96">
        <f>ROUND(($D$157*(1+$A$9)^(F154-$D$154)),0)</f>
        <v>70</v>
      </c>
      <c r="G157" s="96">
        <f t="shared" ref="G157:P157" si="56">ROUND(($D$157*(1+$A$9)^(G154-$D$154)),0)</f>
        <v>70</v>
      </c>
      <c r="H157" s="96">
        <f t="shared" si="56"/>
        <v>70</v>
      </c>
      <c r="I157" s="96">
        <f t="shared" si="56"/>
        <v>70</v>
      </c>
      <c r="J157" s="96">
        <f t="shared" si="56"/>
        <v>70</v>
      </c>
      <c r="K157" s="96">
        <f t="shared" si="56"/>
        <v>70</v>
      </c>
      <c r="L157" s="96">
        <f t="shared" si="56"/>
        <v>70</v>
      </c>
      <c r="M157" s="96">
        <f t="shared" si="56"/>
        <v>70</v>
      </c>
      <c r="N157" s="96">
        <f t="shared" si="56"/>
        <v>70</v>
      </c>
      <c r="O157" s="96">
        <f t="shared" si="56"/>
        <v>70</v>
      </c>
      <c r="P157" s="96">
        <f t="shared" si="56"/>
        <v>70</v>
      </c>
    </row>
    <row r="158" spans="3:16" ht="15" customHeight="1" x14ac:dyDescent="0.25">
      <c r="C158" s="51" t="s">
        <v>183</v>
      </c>
      <c r="D158" s="96">
        <f>+'POBLACION DEMANDANTE EFECTIVA'!D92*E147</f>
        <v>52.800000000000004</v>
      </c>
      <c r="E158" s="96">
        <f>ROUND(($D$158*(1+$A$9)^(E154-$D$154)),0)</f>
        <v>53</v>
      </c>
      <c r="F158" s="96">
        <f>ROUND(($D$158*(1+$A$9)^(F154-$D$154)),0)</f>
        <v>53</v>
      </c>
      <c r="G158" s="96">
        <f t="shared" ref="G158:P158" si="57">ROUND(($D$158*(1+$A$9)^(G154-$D$154)),0)</f>
        <v>53</v>
      </c>
      <c r="H158" s="96">
        <f>ROUND(($D$158*(1+$A$9)^(H154-$D$154)),0)</f>
        <v>53</v>
      </c>
      <c r="I158" s="96">
        <f t="shared" si="57"/>
        <v>53</v>
      </c>
      <c r="J158" s="96">
        <f t="shared" si="57"/>
        <v>53</v>
      </c>
      <c r="K158" s="96">
        <f t="shared" si="57"/>
        <v>53</v>
      </c>
      <c r="L158" s="96">
        <f t="shared" si="57"/>
        <v>53</v>
      </c>
      <c r="M158" s="96">
        <f t="shared" si="57"/>
        <v>53</v>
      </c>
      <c r="N158" s="96">
        <f t="shared" si="57"/>
        <v>53</v>
      </c>
      <c r="O158" s="96">
        <f t="shared" si="57"/>
        <v>53</v>
      </c>
      <c r="P158" s="96">
        <f t="shared" si="57"/>
        <v>53</v>
      </c>
    </row>
    <row r="159" spans="3:16" x14ac:dyDescent="0.25">
      <c r="C159" s="51" t="s">
        <v>184</v>
      </c>
      <c r="D159" s="96">
        <f>+'POBLACION DEMANDANTE EFECTIVA'!D93*E148</f>
        <v>43.2</v>
      </c>
      <c r="E159" s="96">
        <f>ROUND(($D$159*(1+$A$9)^(E154-$D$154)),0)</f>
        <v>43</v>
      </c>
      <c r="F159" s="96">
        <f>ROUND(($D$159*(1+$A$9)^(F154-$D$154)),0)</f>
        <v>43</v>
      </c>
      <c r="G159" s="96">
        <f t="shared" ref="G159:P159" si="58">ROUND(($D$159*(1+$A$9)^(G154-$D$154)),0)</f>
        <v>43</v>
      </c>
      <c r="H159" s="96">
        <f t="shared" si="58"/>
        <v>43</v>
      </c>
      <c r="I159" s="96">
        <f t="shared" si="58"/>
        <v>43</v>
      </c>
      <c r="J159" s="96">
        <f t="shared" si="58"/>
        <v>43</v>
      </c>
      <c r="K159" s="96">
        <f t="shared" si="58"/>
        <v>43</v>
      </c>
      <c r="L159" s="96">
        <f t="shared" si="58"/>
        <v>43</v>
      </c>
      <c r="M159" s="96">
        <f t="shared" si="58"/>
        <v>43</v>
      </c>
      <c r="N159" s="96">
        <f t="shared" si="58"/>
        <v>43</v>
      </c>
      <c r="O159" s="96">
        <f t="shared" si="58"/>
        <v>43</v>
      </c>
      <c r="P159" s="96">
        <f t="shared" si="58"/>
        <v>43</v>
      </c>
    </row>
    <row r="160" spans="3:16" x14ac:dyDescent="0.25">
      <c r="C160" s="51" t="s">
        <v>185</v>
      </c>
      <c r="D160" s="96">
        <f>+'POBLACION DEMANDANTE EFECTIVA'!D94*E149</f>
        <v>36.800000000000004</v>
      </c>
      <c r="E160" s="96">
        <f>ROUND(($D$160*(1+$A$9)^(E154-$D$154)),0)</f>
        <v>37</v>
      </c>
      <c r="F160" s="96">
        <f t="shared" ref="F160:P160" si="59">ROUND(($D$160*(1+$A$9)^(F154-$D$154)),0)</f>
        <v>37</v>
      </c>
      <c r="G160" s="96">
        <f t="shared" si="59"/>
        <v>37</v>
      </c>
      <c r="H160" s="96">
        <f t="shared" si="59"/>
        <v>37</v>
      </c>
      <c r="I160" s="96">
        <f t="shared" si="59"/>
        <v>37</v>
      </c>
      <c r="J160" s="96">
        <f t="shared" si="59"/>
        <v>37</v>
      </c>
      <c r="K160" s="96">
        <f t="shared" si="59"/>
        <v>37</v>
      </c>
      <c r="L160" s="96">
        <f t="shared" si="59"/>
        <v>37</v>
      </c>
      <c r="M160" s="96">
        <f t="shared" si="59"/>
        <v>37</v>
      </c>
      <c r="N160" s="96">
        <f t="shared" si="59"/>
        <v>37</v>
      </c>
      <c r="O160" s="96">
        <f t="shared" si="59"/>
        <v>37</v>
      </c>
      <c r="P160" s="96">
        <f t="shared" si="59"/>
        <v>37</v>
      </c>
    </row>
    <row r="161" spans="1:16" x14ac:dyDescent="0.25">
      <c r="C161" s="109" t="s">
        <v>186</v>
      </c>
      <c r="D161" s="96">
        <f>+'POBLACION DEMANDANTE EFECTIVA'!D95*E150</f>
        <v>45.6</v>
      </c>
      <c r="E161" s="96">
        <f>ROUND(($D$161*(1+$A$9)^(E154-$D$154)),0)</f>
        <v>46</v>
      </c>
      <c r="F161" s="96">
        <f t="shared" ref="F161:P161" si="60">ROUND(($D$161*(1+$A$9)^(F154-$D$154)),0)</f>
        <v>46</v>
      </c>
      <c r="G161" s="96">
        <f t="shared" si="60"/>
        <v>46</v>
      </c>
      <c r="H161" s="96">
        <f t="shared" si="60"/>
        <v>46</v>
      </c>
      <c r="I161" s="96">
        <f t="shared" si="60"/>
        <v>46</v>
      </c>
      <c r="J161" s="96">
        <f t="shared" si="60"/>
        <v>46</v>
      </c>
      <c r="K161" s="96">
        <f t="shared" si="60"/>
        <v>46</v>
      </c>
      <c r="L161" s="96">
        <f t="shared" si="60"/>
        <v>46</v>
      </c>
      <c r="M161" s="96">
        <f t="shared" si="60"/>
        <v>46</v>
      </c>
      <c r="N161" s="96">
        <f t="shared" si="60"/>
        <v>46</v>
      </c>
      <c r="O161" s="96">
        <f t="shared" si="60"/>
        <v>46</v>
      </c>
      <c r="P161" s="96">
        <f t="shared" si="60"/>
        <v>46</v>
      </c>
    </row>
    <row r="162" spans="1:16" x14ac:dyDescent="0.25">
      <c r="A162" s="1"/>
    </row>
    <row r="163" spans="1:16" x14ac:dyDescent="0.25">
      <c r="C163" s="267" t="s">
        <v>209</v>
      </c>
      <c r="D163" s="267"/>
      <c r="E163" s="267"/>
      <c r="F163" s="26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</row>
    <row r="164" spans="1:16" ht="39.75" customHeight="1" x14ac:dyDescent="0.25">
      <c r="C164" s="20" t="s">
        <v>212</v>
      </c>
      <c r="D164" s="20" t="s">
        <v>31</v>
      </c>
      <c r="E164" s="235" t="s">
        <v>448</v>
      </c>
      <c r="F164" s="236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</row>
    <row r="165" spans="1:16" x14ac:dyDescent="0.25">
      <c r="C165" s="267" t="s">
        <v>217</v>
      </c>
      <c r="D165" s="51" t="s">
        <v>181</v>
      </c>
      <c r="E165" s="268">
        <v>1</v>
      </c>
      <c r="F165" s="269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</row>
    <row r="166" spans="1:16" x14ac:dyDescent="0.25">
      <c r="C166" s="267"/>
      <c r="D166" s="51" t="s">
        <v>182</v>
      </c>
      <c r="E166" s="270">
        <v>1</v>
      </c>
      <c r="F166" s="271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</row>
    <row r="167" spans="1:16" x14ac:dyDescent="0.25">
      <c r="C167" s="267"/>
      <c r="D167" s="51" t="s">
        <v>183</v>
      </c>
      <c r="E167" s="270">
        <v>1</v>
      </c>
      <c r="F167" s="271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</row>
    <row r="168" spans="1:16" x14ac:dyDescent="0.25">
      <c r="C168" s="267"/>
      <c r="D168" s="51" t="s">
        <v>184</v>
      </c>
      <c r="E168" s="270">
        <v>1</v>
      </c>
      <c r="F168" s="271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</row>
    <row r="169" spans="1:16" x14ac:dyDescent="0.25">
      <c r="C169" s="267"/>
      <c r="D169" s="51" t="s">
        <v>185</v>
      </c>
      <c r="E169" s="270">
        <v>1</v>
      </c>
      <c r="F169" s="271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</row>
    <row r="170" spans="1:16" x14ac:dyDescent="0.25">
      <c r="C170" s="267"/>
      <c r="D170" s="51" t="s">
        <v>186</v>
      </c>
      <c r="E170" s="272">
        <v>1</v>
      </c>
      <c r="F170" s="273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</row>
    <row r="172" spans="1:16" s="112" customFormat="1" x14ac:dyDescent="0.25">
      <c r="C172" s="252" t="s">
        <v>38</v>
      </c>
      <c r="D172" s="249" t="s">
        <v>143</v>
      </c>
      <c r="E172" s="250"/>
      <c r="F172" s="251"/>
      <c r="G172" s="255" t="s">
        <v>39</v>
      </c>
      <c r="H172" s="255"/>
      <c r="I172" s="255"/>
      <c r="J172" s="255"/>
      <c r="K172" s="255"/>
      <c r="L172" s="255"/>
      <c r="M172" s="255"/>
      <c r="N172" s="255"/>
      <c r="O172" s="255"/>
      <c r="P172" s="255"/>
    </row>
    <row r="173" spans="1:16" s="112" customFormat="1" x14ac:dyDescent="0.25">
      <c r="C173" s="253"/>
      <c r="D173" s="239">
        <v>0</v>
      </c>
      <c r="E173" s="239"/>
      <c r="F173" s="239"/>
      <c r="G173" s="24">
        <v>1</v>
      </c>
      <c r="H173" s="25">
        <v>2</v>
      </c>
      <c r="I173" s="25">
        <v>3</v>
      </c>
      <c r="J173" s="25">
        <v>4</v>
      </c>
      <c r="K173" s="25">
        <v>5</v>
      </c>
      <c r="L173" s="25">
        <v>6</v>
      </c>
      <c r="M173" s="25">
        <v>7</v>
      </c>
      <c r="N173" s="25">
        <v>8</v>
      </c>
      <c r="O173" s="25">
        <v>9</v>
      </c>
      <c r="P173" s="24">
        <v>10</v>
      </c>
    </row>
    <row r="174" spans="1:16" s="112" customFormat="1" x14ac:dyDescent="0.25">
      <c r="C174" s="254"/>
      <c r="D174" s="95">
        <f t="shared" ref="D174:P174" si="61">+D134</f>
        <v>2024</v>
      </c>
      <c r="E174" s="95">
        <f t="shared" si="61"/>
        <v>2025</v>
      </c>
      <c r="F174" s="95">
        <f t="shared" si="61"/>
        <v>2026</v>
      </c>
      <c r="G174" s="95">
        <f t="shared" si="61"/>
        <v>2027</v>
      </c>
      <c r="H174" s="95">
        <f t="shared" si="61"/>
        <v>2028</v>
      </c>
      <c r="I174" s="95">
        <f t="shared" si="61"/>
        <v>2029</v>
      </c>
      <c r="J174" s="95">
        <f t="shared" si="61"/>
        <v>2030</v>
      </c>
      <c r="K174" s="95">
        <f t="shared" si="61"/>
        <v>2031</v>
      </c>
      <c r="L174" s="95">
        <f t="shared" si="61"/>
        <v>2032</v>
      </c>
      <c r="M174" s="95">
        <f t="shared" si="61"/>
        <v>2033</v>
      </c>
      <c r="N174" s="95">
        <f t="shared" si="61"/>
        <v>2034</v>
      </c>
      <c r="O174" s="95">
        <f t="shared" si="61"/>
        <v>2035</v>
      </c>
      <c r="P174" s="95">
        <f t="shared" si="61"/>
        <v>2036</v>
      </c>
    </row>
    <row r="175" spans="1:16" ht="38.25" x14ac:dyDescent="0.25">
      <c r="C175" s="28" t="s">
        <v>387</v>
      </c>
      <c r="D175" s="98">
        <f>+SUM(D176:D181)</f>
        <v>291.20000000000005</v>
      </c>
      <c r="E175" s="98">
        <f>+SUM(E176:E181)</f>
        <v>292</v>
      </c>
      <c r="F175" s="98">
        <f t="shared" ref="F175:P175" si="62">+SUM(F176:F181)</f>
        <v>292</v>
      </c>
      <c r="G175" s="106">
        <f t="shared" si="62"/>
        <v>292</v>
      </c>
      <c r="H175" s="106">
        <f t="shared" si="62"/>
        <v>292</v>
      </c>
      <c r="I175" s="106">
        <f t="shared" si="62"/>
        <v>292</v>
      </c>
      <c r="J175" s="106">
        <f t="shared" si="62"/>
        <v>292</v>
      </c>
      <c r="K175" s="106">
        <f t="shared" si="62"/>
        <v>292</v>
      </c>
      <c r="L175" s="106">
        <f t="shared" si="62"/>
        <v>292</v>
      </c>
      <c r="M175" s="106">
        <f t="shared" si="62"/>
        <v>292</v>
      </c>
      <c r="N175" s="106">
        <f t="shared" si="62"/>
        <v>292</v>
      </c>
      <c r="O175" s="106">
        <f t="shared" si="62"/>
        <v>292</v>
      </c>
      <c r="P175" s="106">
        <f t="shared" si="62"/>
        <v>292</v>
      </c>
    </row>
    <row r="176" spans="1:16" x14ac:dyDescent="0.25">
      <c r="C176" s="105" t="s">
        <v>181</v>
      </c>
      <c r="D176" s="94">
        <f>+'POBLACION DEMANDANTE EFECTIVA'!D101*E165</f>
        <v>43.2</v>
      </c>
      <c r="E176" s="94">
        <f>ROUND(($D$176*(1+$A$9)^(E174-$D$174)),0)</f>
        <v>43</v>
      </c>
      <c r="F176" s="94">
        <f>ROUND(($D$176*(1+$A$9)^(F174-$D$174)),0)</f>
        <v>43</v>
      </c>
      <c r="G176" s="94">
        <f>ROUND(($D$176*(1+$A$9)^(G174-$D$174)),0)</f>
        <v>43</v>
      </c>
      <c r="H176" s="94">
        <f t="shared" ref="H176:P176" si="63">ROUND(($D$176*(1+$A$9)^(H174-$D$174)),0)</f>
        <v>43</v>
      </c>
      <c r="I176" s="94">
        <f t="shared" si="63"/>
        <v>43</v>
      </c>
      <c r="J176" s="94">
        <f t="shared" si="63"/>
        <v>43</v>
      </c>
      <c r="K176" s="94">
        <f t="shared" si="63"/>
        <v>43</v>
      </c>
      <c r="L176" s="94">
        <f t="shared" si="63"/>
        <v>43</v>
      </c>
      <c r="M176" s="94">
        <f t="shared" si="63"/>
        <v>43</v>
      </c>
      <c r="N176" s="94">
        <f t="shared" si="63"/>
        <v>43</v>
      </c>
      <c r="O176" s="94">
        <f t="shared" si="63"/>
        <v>43</v>
      </c>
      <c r="P176" s="94">
        <f t="shared" si="63"/>
        <v>43</v>
      </c>
    </row>
    <row r="177" spans="3:16" x14ac:dyDescent="0.25">
      <c r="C177" s="51" t="s">
        <v>182</v>
      </c>
      <c r="D177" s="94">
        <f>+'POBLACION DEMANDANTE EFECTIVA'!D102*E166</f>
        <v>69.600000000000009</v>
      </c>
      <c r="E177" s="94">
        <f>ROUND(($D$177*(1+$A$9)^(E174-$D$174)),0)</f>
        <v>70</v>
      </c>
      <c r="F177" s="94">
        <f t="shared" ref="F177:P177" si="64">ROUND(($D$177*(1+$A$9)^(F174-$D$174)),0)</f>
        <v>70</v>
      </c>
      <c r="G177" s="94">
        <f>ROUND(($D$177*(1+$A$9)^(G174-$D$174)),0)</f>
        <v>70</v>
      </c>
      <c r="H177" s="94">
        <f>ROUND(($D$177*(1+$A$9)^(H174-$D$174)),0)</f>
        <v>70</v>
      </c>
      <c r="I177" s="94">
        <f t="shared" si="64"/>
        <v>70</v>
      </c>
      <c r="J177" s="94">
        <f t="shared" si="64"/>
        <v>70</v>
      </c>
      <c r="K177" s="94">
        <f t="shared" si="64"/>
        <v>70</v>
      </c>
      <c r="L177" s="94">
        <f t="shared" si="64"/>
        <v>70</v>
      </c>
      <c r="M177" s="94">
        <f t="shared" si="64"/>
        <v>70</v>
      </c>
      <c r="N177" s="94">
        <f t="shared" si="64"/>
        <v>70</v>
      </c>
      <c r="O177" s="94">
        <f t="shared" si="64"/>
        <v>70</v>
      </c>
      <c r="P177" s="94">
        <f t="shared" si="64"/>
        <v>70</v>
      </c>
    </row>
    <row r="178" spans="3:16" x14ac:dyDescent="0.25">
      <c r="C178" s="51" t="s">
        <v>183</v>
      </c>
      <c r="D178" s="94">
        <f>+'POBLACION DEMANDANTE EFECTIVA'!D103*E167</f>
        <v>52.800000000000004</v>
      </c>
      <c r="E178" s="94">
        <f>ROUND(($D$178*(1+$A$9)^(E174-$D$174)),0)</f>
        <v>53</v>
      </c>
      <c r="F178" s="94">
        <f t="shared" ref="F178:P178" si="65">ROUND(($D$178*(1+$A$9)^(F174-$D$174)),0)</f>
        <v>53</v>
      </c>
      <c r="G178" s="94">
        <f t="shared" si="65"/>
        <v>53</v>
      </c>
      <c r="H178" s="94">
        <f t="shared" si="65"/>
        <v>53</v>
      </c>
      <c r="I178" s="94">
        <f t="shared" si="65"/>
        <v>53</v>
      </c>
      <c r="J178" s="94">
        <f t="shared" si="65"/>
        <v>53</v>
      </c>
      <c r="K178" s="94">
        <f t="shared" si="65"/>
        <v>53</v>
      </c>
      <c r="L178" s="94">
        <f t="shared" si="65"/>
        <v>53</v>
      </c>
      <c r="M178" s="94">
        <f t="shared" si="65"/>
        <v>53</v>
      </c>
      <c r="N178" s="94">
        <f t="shared" si="65"/>
        <v>53</v>
      </c>
      <c r="O178" s="94">
        <f t="shared" si="65"/>
        <v>53</v>
      </c>
      <c r="P178" s="94">
        <f t="shared" si="65"/>
        <v>53</v>
      </c>
    </row>
    <row r="179" spans="3:16" x14ac:dyDescent="0.25">
      <c r="C179" s="51" t="s">
        <v>184</v>
      </c>
      <c r="D179" s="94">
        <f>+'POBLACION DEMANDANTE EFECTIVA'!D104*E168</f>
        <v>43.2</v>
      </c>
      <c r="E179" s="94">
        <f>ROUND(($D$179*(1+$A$9)^(E174-$D$174)),0)</f>
        <v>43</v>
      </c>
      <c r="F179" s="94">
        <f>ROUND(($D$179*(1+$A$9)^(F174-$D$174)),0)</f>
        <v>43</v>
      </c>
      <c r="G179" s="94">
        <f>ROUND(($D$179*(1+$A$9)^(G174-$D$174)),0)</f>
        <v>43</v>
      </c>
      <c r="H179" s="94">
        <f t="shared" ref="H179:P179" si="66">ROUND(($D$179*(1+$A$9)^(H174-$D$174)),0)</f>
        <v>43</v>
      </c>
      <c r="I179" s="94">
        <f t="shared" si="66"/>
        <v>43</v>
      </c>
      <c r="J179" s="94">
        <f t="shared" si="66"/>
        <v>43</v>
      </c>
      <c r="K179" s="94">
        <f t="shared" si="66"/>
        <v>43</v>
      </c>
      <c r="L179" s="94">
        <f t="shared" si="66"/>
        <v>43</v>
      </c>
      <c r="M179" s="94">
        <f t="shared" si="66"/>
        <v>43</v>
      </c>
      <c r="N179" s="94">
        <f t="shared" si="66"/>
        <v>43</v>
      </c>
      <c r="O179" s="94">
        <f t="shared" si="66"/>
        <v>43</v>
      </c>
      <c r="P179" s="94">
        <f t="shared" si="66"/>
        <v>43</v>
      </c>
    </row>
    <row r="180" spans="3:16" x14ac:dyDescent="0.25">
      <c r="C180" s="51" t="s">
        <v>185</v>
      </c>
      <c r="D180" s="94">
        <f>+'POBLACION DEMANDANTE EFECTIVA'!D105*E169</f>
        <v>36.800000000000004</v>
      </c>
      <c r="E180" s="94">
        <f>ROUND(($D$180*(1+$A$9)^(E174-$D$174)),0)</f>
        <v>37</v>
      </c>
      <c r="F180" s="94">
        <f>ROUND(($D$180*(1+$A$9)^(F174-$D$174)),0)</f>
        <v>37</v>
      </c>
      <c r="G180" s="94">
        <f>ROUND(($D$180*(1+$A$9)^(G174-$D$174)),0)</f>
        <v>37</v>
      </c>
      <c r="H180" s="94">
        <f t="shared" ref="H180:P180" si="67">ROUND(($D$180*(1+$A$9)^(H174-$D$174)),0)</f>
        <v>37</v>
      </c>
      <c r="I180" s="94">
        <f t="shared" si="67"/>
        <v>37</v>
      </c>
      <c r="J180" s="94">
        <f t="shared" si="67"/>
        <v>37</v>
      </c>
      <c r="K180" s="94">
        <f t="shared" si="67"/>
        <v>37</v>
      </c>
      <c r="L180" s="94">
        <f t="shared" si="67"/>
        <v>37</v>
      </c>
      <c r="M180" s="94">
        <f t="shared" si="67"/>
        <v>37</v>
      </c>
      <c r="N180" s="94">
        <f t="shared" si="67"/>
        <v>37</v>
      </c>
      <c r="O180" s="94">
        <f t="shared" si="67"/>
        <v>37</v>
      </c>
      <c r="P180" s="94">
        <f t="shared" si="67"/>
        <v>37</v>
      </c>
    </row>
    <row r="181" spans="3:16" x14ac:dyDescent="0.25">
      <c r="C181" s="109" t="s">
        <v>186</v>
      </c>
      <c r="D181" s="94">
        <f>+'POBLACION DEMANDANTE EFECTIVA'!D106*E170</f>
        <v>45.6</v>
      </c>
      <c r="E181" s="94">
        <f>ROUND(($D$181*(1+$A$9)^(E174-$D$174)),0)</f>
        <v>46</v>
      </c>
      <c r="F181" s="94">
        <f>ROUND(($D$181*(1+$A$9)^(F174-$D$174)),0)</f>
        <v>46</v>
      </c>
      <c r="G181" s="94">
        <f t="shared" ref="G181:P181" si="68">ROUND(($D$181*(1+$A$9)^(G174-$D$174)),0)</f>
        <v>46</v>
      </c>
      <c r="H181" s="94">
        <f t="shared" si="68"/>
        <v>46</v>
      </c>
      <c r="I181" s="94">
        <f>ROUND(($D$181*(1+$A$9)^(I174-$D$174)),0)</f>
        <v>46</v>
      </c>
      <c r="J181" s="94">
        <f t="shared" si="68"/>
        <v>46</v>
      </c>
      <c r="K181" s="94">
        <f t="shared" si="68"/>
        <v>46</v>
      </c>
      <c r="L181" s="94">
        <f t="shared" si="68"/>
        <v>46</v>
      </c>
      <c r="M181" s="94">
        <f t="shared" si="68"/>
        <v>46</v>
      </c>
      <c r="N181" s="94">
        <f t="shared" si="68"/>
        <v>46</v>
      </c>
      <c r="O181" s="94">
        <f t="shared" si="68"/>
        <v>46</v>
      </c>
      <c r="P181" s="94">
        <f t="shared" si="68"/>
        <v>46</v>
      </c>
    </row>
    <row r="183" spans="3:16" x14ac:dyDescent="0.25">
      <c r="C183" s="267" t="s">
        <v>35</v>
      </c>
      <c r="D183" s="267"/>
      <c r="E183" s="267"/>
      <c r="F183" s="26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</row>
    <row r="184" spans="3:16" ht="41.25" customHeight="1" x14ac:dyDescent="0.25">
      <c r="C184" s="26" t="s">
        <v>30</v>
      </c>
      <c r="D184" s="26" t="s">
        <v>31</v>
      </c>
      <c r="E184" s="239" t="s">
        <v>450</v>
      </c>
      <c r="F184" s="239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</row>
    <row r="185" spans="3:16" x14ac:dyDescent="0.25">
      <c r="C185" s="28" t="s">
        <v>62</v>
      </c>
      <c r="D185" s="109" t="s">
        <v>195</v>
      </c>
      <c r="E185" s="274">
        <v>8</v>
      </c>
      <c r="F185" s="274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</row>
    <row r="186" spans="3:16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3:16" x14ac:dyDescent="0.25">
      <c r="C187" s="239" t="s">
        <v>24</v>
      </c>
      <c r="D187" s="249" t="s">
        <v>143</v>
      </c>
      <c r="E187" s="250"/>
      <c r="F187" s="251"/>
      <c r="G187" s="255" t="s">
        <v>39</v>
      </c>
      <c r="H187" s="255"/>
      <c r="I187" s="255"/>
      <c r="J187" s="255"/>
      <c r="K187" s="255"/>
      <c r="L187" s="255"/>
      <c r="M187" s="255"/>
      <c r="N187" s="255"/>
      <c r="O187" s="255"/>
      <c r="P187" s="255"/>
    </row>
    <row r="188" spans="3:16" x14ac:dyDescent="0.25">
      <c r="C188" s="239"/>
      <c r="D188" s="259">
        <v>0</v>
      </c>
      <c r="E188" s="260"/>
      <c r="F188" s="261"/>
      <c r="G188" s="24">
        <v>1</v>
      </c>
      <c r="H188" s="24">
        <v>2</v>
      </c>
      <c r="I188" s="24">
        <v>3</v>
      </c>
      <c r="J188" s="24">
        <v>4</v>
      </c>
      <c r="K188" s="24">
        <v>5</v>
      </c>
      <c r="L188" s="24">
        <v>6</v>
      </c>
      <c r="M188" s="24">
        <v>7</v>
      </c>
      <c r="N188" s="24">
        <v>8</v>
      </c>
      <c r="O188" s="24">
        <v>9</v>
      </c>
      <c r="P188" s="24">
        <v>10</v>
      </c>
    </row>
    <row r="189" spans="3:16" x14ac:dyDescent="0.25">
      <c r="C189" s="239"/>
      <c r="D189" s="20">
        <v>2024</v>
      </c>
      <c r="E189" s="20">
        <v>2025</v>
      </c>
      <c r="F189" s="20">
        <v>2026</v>
      </c>
      <c r="G189" s="20">
        <v>2027</v>
      </c>
      <c r="H189" s="20">
        <v>2028</v>
      </c>
      <c r="I189" s="20">
        <v>2029</v>
      </c>
      <c r="J189" s="20">
        <v>2030</v>
      </c>
      <c r="K189" s="20">
        <v>2031</v>
      </c>
      <c r="L189" s="20">
        <v>2032</v>
      </c>
      <c r="M189" s="20">
        <v>2033</v>
      </c>
      <c r="N189" s="20">
        <v>2034</v>
      </c>
      <c r="O189" s="20">
        <v>2035</v>
      </c>
      <c r="P189" s="20">
        <v>2036</v>
      </c>
    </row>
    <row r="190" spans="3:16" x14ac:dyDescent="0.25">
      <c r="C190" s="115" t="s">
        <v>191</v>
      </c>
      <c r="D190" s="97">
        <f>SUM(D191:D191)</f>
        <v>115.2</v>
      </c>
      <c r="E190" s="97">
        <f t="shared" ref="E190:P190" si="69">SUM(E191:E191)</f>
        <v>115</v>
      </c>
      <c r="F190" s="97">
        <f t="shared" si="69"/>
        <v>115</v>
      </c>
      <c r="G190" s="97">
        <f t="shared" si="69"/>
        <v>115</v>
      </c>
      <c r="H190" s="97">
        <f t="shared" si="69"/>
        <v>115</v>
      </c>
      <c r="I190" s="97">
        <f t="shared" si="69"/>
        <v>115</v>
      </c>
      <c r="J190" s="97">
        <f t="shared" si="69"/>
        <v>115</v>
      </c>
      <c r="K190" s="97">
        <f t="shared" si="69"/>
        <v>115</v>
      </c>
      <c r="L190" s="97">
        <f t="shared" si="69"/>
        <v>115</v>
      </c>
      <c r="M190" s="97">
        <f t="shared" si="69"/>
        <v>116</v>
      </c>
      <c r="N190" s="97">
        <f t="shared" si="69"/>
        <v>116</v>
      </c>
      <c r="O190" s="97">
        <f t="shared" si="69"/>
        <v>116</v>
      </c>
      <c r="P190" s="97">
        <f t="shared" si="69"/>
        <v>116</v>
      </c>
    </row>
    <row r="191" spans="3:16" x14ac:dyDescent="0.25">
      <c r="C191" s="105" t="s">
        <v>33</v>
      </c>
      <c r="D191" s="96">
        <f>+'POBLACION DEMANDANTE EFECTIVA'!D112*E185</f>
        <v>115.2</v>
      </c>
      <c r="E191" s="96">
        <f t="shared" ref="E191:P191" si="70">ROUND(($D$191*(1+$A$9)^(E189-$D$189)),0)</f>
        <v>115</v>
      </c>
      <c r="F191" s="96">
        <f t="shared" si="70"/>
        <v>115</v>
      </c>
      <c r="G191" s="96">
        <f t="shared" si="70"/>
        <v>115</v>
      </c>
      <c r="H191" s="96">
        <f t="shared" si="70"/>
        <v>115</v>
      </c>
      <c r="I191" s="96">
        <f t="shared" si="70"/>
        <v>115</v>
      </c>
      <c r="J191" s="96">
        <f t="shared" si="70"/>
        <v>115</v>
      </c>
      <c r="K191" s="96">
        <f t="shared" si="70"/>
        <v>115</v>
      </c>
      <c r="L191" s="96">
        <f t="shared" si="70"/>
        <v>115</v>
      </c>
      <c r="M191" s="96">
        <f t="shared" si="70"/>
        <v>116</v>
      </c>
      <c r="N191" s="96">
        <f t="shared" si="70"/>
        <v>116</v>
      </c>
      <c r="O191" s="96">
        <f t="shared" si="70"/>
        <v>116</v>
      </c>
      <c r="P191" s="96">
        <f t="shared" si="70"/>
        <v>116</v>
      </c>
    </row>
    <row r="192" spans="3:16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3:16" x14ac:dyDescent="0.25">
      <c r="C193" s="267" t="s">
        <v>433</v>
      </c>
      <c r="D193" s="267"/>
      <c r="E193" s="267"/>
      <c r="F193" s="267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</row>
    <row r="194" spans="3:16" ht="39.75" customHeight="1" x14ac:dyDescent="0.25">
      <c r="C194" s="20" t="s">
        <v>212</v>
      </c>
      <c r="D194" s="20" t="s">
        <v>31</v>
      </c>
      <c r="E194" s="239" t="s">
        <v>451</v>
      </c>
      <c r="F194" s="239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</row>
    <row r="195" spans="3:16" x14ac:dyDescent="0.25">
      <c r="C195" s="281" t="s">
        <v>211</v>
      </c>
      <c r="D195" s="105" t="s">
        <v>206</v>
      </c>
      <c r="E195" s="268">
        <v>4</v>
      </c>
      <c r="F195" s="269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</row>
    <row r="196" spans="3:16" x14ac:dyDescent="0.25">
      <c r="C196" s="282"/>
      <c r="D196" s="105" t="s">
        <v>207</v>
      </c>
      <c r="E196" s="272">
        <v>4</v>
      </c>
      <c r="F196" s="273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</row>
    <row r="197" spans="3:16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3:16" x14ac:dyDescent="0.25">
      <c r="C198" s="239" t="s">
        <v>24</v>
      </c>
      <c r="D198" s="249" t="s">
        <v>143</v>
      </c>
      <c r="E198" s="250"/>
      <c r="F198" s="251"/>
      <c r="G198" s="255" t="s">
        <v>39</v>
      </c>
      <c r="H198" s="255"/>
      <c r="I198" s="255"/>
      <c r="J198" s="255"/>
      <c r="K198" s="255"/>
      <c r="L198" s="255"/>
      <c r="M198" s="255"/>
      <c r="N198" s="255"/>
      <c r="O198" s="255"/>
      <c r="P198" s="255"/>
    </row>
    <row r="199" spans="3:16" x14ac:dyDescent="0.25">
      <c r="C199" s="239"/>
      <c r="D199" s="259">
        <v>0</v>
      </c>
      <c r="E199" s="260"/>
      <c r="F199" s="261"/>
      <c r="G199" s="24">
        <v>1</v>
      </c>
      <c r="H199" s="24">
        <v>2</v>
      </c>
      <c r="I199" s="24">
        <v>3</v>
      </c>
      <c r="J199" s="24">
        <v>4</v>
      </c>
      <c r="K199" s="24">
        <v>5</v>
      </c>
      <c r="L199" s="24">
        <v>6</v>
      </c>
      <c r="M199" s="24">
        <v>7</v>
      </c>
      <c r="N199" s="24">
        <v>8</v>
      </c>
      <c r="O199" s="24">
        <v>9</v>
      </c>
      <c r="P199" s="24">
        <v>10</v>
      </c>
    </row>
    <row r="200" spans="3:16" x14ac:dyDescent="0.25">
      <c r="C200" s="239"/>
      <c r="D200" s="20">
        <v>2024</v>
      </c>
      <c r="E200" s="20">
        <v>2025</v>
      </c>
      <c r="F200" s="20">
        <v>2026</v>
      </c>
      <c r="G200" s="20">
        <v>2027</v>
      </c>
      <c r="H200" s="20">
        <v>2028</v>
      </c>
      <c r="I200" s="20">
        <v>2029</v>
      </c>
      <c r="J200" s="20">
        <v>2030</v>
      </c>
      <c r="K200" s="20">
        <v>2031</v>
      </c>
      <c r="L200" s="20">
        <v>2032</v>
      </c>
      <c r="M200" s="20">
        <v>2033</v>
      </c>
      <c r="N200" s="20">
        <v>2034</v>
      </c>
      <c r="O200" s="20">
        <v>2035</v>
      </c>
      <c r="P200" s="20">
        <v>2036</v>
      </c>
    </row>
    <row r="201" spans="3:16" ht="26.25" x14ac:dyDescent="0.25">
      <c r="C201" s="115" t="s">
        <v>208</v>
      </c>
      <c r="D201" s="97">
        <f>SUM(D202:D203)</f>
        <v>806.40000000000009</v>
      </c>
      <c r="E201" s="97">
        <f t="shared" ref="E201:P201" si="71">SUM(E202:E203)</f>
        <v>807</v>
      </c>
      <c r="F201" s="97">
        <f t="shared" si="71"/>
        <v>807</v>
      </c>
      <c r="G201" s="97">
        <f t="shared" si="71"/>
        <v>807</v>
      </c>
      <c r="H201" s="97">
        <f t="shared" si="71"/>
        <v>807</v>
      </c>
      <c r="I201" s="97">
        <f t="shared" si="71"/>
        <v>808</v>
      </c>
      <c r="J201" s="97">
        <f t="shared" si="71"/>
        <v>808</v>
      </c>
      <c r="K201" s="97">
        <f t="shared" si="71"/>
        <v>808</v>
      </c>
      <c r="L201" s="97">
        <f t="shared" si="71"/>
        <v>808</v>
      </c>
      <c r="M201" s="97">
        <f t="shared" si="71"/>
        <v>809</v>
      </c>
      <c r="N201" s="97">
        <f t="shared" si="71"/>
        <v>809</v>
      </c>
      <c r="O201" s="97">
        <f t="shared" si="71"/>
        <v>809</v>
      </c>
      <c r="P201" s="97">
        <f t="shared" si="71"/>
        <v>809</v>
      </c>
    </row>
    <row r="202" spans="3:16" x14ac:dyDescent="0.25">
      <c r="C202" s="105" t="s">
        <v>206</v>
      </c>
      <c r="D202" s="96">
        <f>+'POBLACION DEMANDANTE EFECTIVA'!D118*E195</f>
        <v>92.800000000000011</v>
      </c>
      <c r="E202" s="96">
        <f>ROUND(($D$202*(1+$A$9)^(E200-$D$200)),0)</f>
        <v>93</v>
      </c>
      <c r="F202" s="96">
        <f>ROUND(($D$202*(1+$A$9)^(F200-$D$200)),0)</f>
        <v>93</v>
      </c>
      <c r="G202" s="96">
        <f>ROUND(($D$202*(1+$A$9)^(G200-$D$200)),0)</f>
        <v>93</v>
      </c>
      <c r="H202" s="96">
        <f t="shared" ref="H202:K202" si="72">ROUND(($D$202*(1+$A$9)^(H200-$D$200)),0)</f>
        <v>93</v>
      </c>
      <c r="I202" s="96">
        <f t="shared" si="72"/>
        <v>93</v>
      </c>
      <c r="J202" s="96">
        <f t="shared" si="72"/>
        <v>93</v>
      </c>
      <c r="K202" s="96">
        <f t="shared" si="72"/>
        <v>93</v>
      </c>
      <c r="L202" s="96">
        <f t="shared" ref="L202:P202" si="73">ROUND(($D$202*(1+$A$9)^(L200-$D$200)),0)</f>
        <v>93</v>
      </c>
      <c r="M202" s="96">
        <f t="shared" si="73"/>
        <v>93</v>
      </c>
      <c r="N202" s="96">
        <f t="shared" si="73"/>
        <v>93</v>
      </c>
      <c r="O202" s="96">
        <f t="shared" si="73"/>
        <v>93</v>
      </c>
      <c r="P202" s="96">
        <f t="shared" si="73"/>
        <v>93</v>
      </c>
    </row>
    <row r="203" spans="3:16" x14ac:dyDescent="0.25">
      <c r="C203" s="105" t="s">
        <v>207</v>
      </c>
      <c r="D203" s="96">
        <f>+'POBLACION DEMANDANTE EFECTIVA'!D119*E196</f>
        <v>713.6</v>
      </c>
      <c r="E203" s="96">
        <f t="shared" ref="E203:J203" si="74">ROUND(($D$203*(1+$A$9)^(E200-$D$200)),0)</f>
        <v>714</v>
      </c>
      <c r="F203" s="96">
        <f t="shared" si="74"/>
        <v>714</v>
      </c>
      <c r="G203" s="96">
        <f t="shared" si="74"/>
        <v>714</v>
      </c>
      <c r="H203" s="96">
        <f t="shared" si="74"/>
        <v>714</v>
      </c>
      <c r="I203" s="96">
        <f t="shared" si="74"/>
        <v>715</v>
      </c>
      <c r="J203" s="96">
        <f t="shared" si="74"/>
        <v>715</v>
      </c>
      <c r="K203" s="96">
        <f t="shared" ref="K203:M203" si="75">ROUND(($D$203*(1+$A$9)^(K200-$D$200)),0)</f>
        <v>715</v>
      </c>
      <c r="L203" s="96">
        <f t="shared" si="75"/>
        <v>715</v>
      </c>
      <c r="M203" s="96">
        <f t="shared" si="75"/>
        <v>716</v>
      </c>
      <c r="N203" s="96">
        <f t="shared" ref="N203:P203" si="76">ROUND(($D$203*(1+$A$9)^(N200-$D$200)),0)</f>
        <v>716</v>
      </c>
      <c r="O203" s="96">
        <f t="shared" si="76"/>
        <v>716</v>
      </c>
      <c r="P203" s="96">
        <f t="shared" si="76"/>
        <v>716</v>
      </c>
    </row>
    <row r="204" spans="3:16" x14ac:dyDescent="0.25">
      <c r="C204" s="256"/>
      <c r="D204" s="25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</row>
    <row r="205" spans="3:16" x14ac:dyDescent="0.25">
      <c r="C205" s="267" t="s">
        <v>209</v>
      </c>
      <c r="D205" s="267"/>
      <c r="E205" s="267"/>
      <c r="F205" s="26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</row>
    <row r="206" spans="3:16" ht="41.25" customHeight="1" x14ac:dyDescent="0.25">
      <c r="C206" s="26" t="s">
        <v>212</v>
      </c>
      <c r="D206" s="26" t="s">
        <v>31</v>
      </c>
      <c r="E206" s="239" t="s">
        <v>451</v>
      </c>
      <c r="F206" s="239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</row>
    <row r="207" spans="3:16" x14ac:dyDescent="0.25">
      <c r="C207" s="267" t="s">
        <v>214</v>
      </c>
      <c r="D207" s="30" t="s">
        <v>181</v>
      </c>
      <c r="E207" s="268">
        <v>1</v>
      </c>
      <c r="F207" s="269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</row>
    <row r="208" spans="3:16" x14ac:dyDescent="0.25">
      <c r="C208" s="267"/>
      <c r="D208" s="30" t="s">
        <v>182</v>
      </c>
      <c r="E208" s="270">
        <v>1</v>
      </c>
      <c r="F208" s="271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</row>
    <row r="209" spans="3:16" x14ac:dyDescent="0.25">
      <c r="C209" s="267"/>
      <c r="D209" s="30" t="s">
        <v>183</v>
      </c>
      <c r="E209" s="270">
        <v>1</v>
      </c>
      <c r="F209" s="271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</row>
    <row r="210" spans="3:16" x14ac:dyDescent="0.25">
      <c r="C210" s="267"/>
      <c r="D210" s="30" t="s">
        <v>184</v>
      </c>
      <c r="E210" s="270">
        <v>1</v>
      </c>
      <c r="F210" s="271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</row>
    <row r="211" spans="3:16" x14ac:dyDescent="0.25">
      <c r="C211" s="267"/>
      <c r="D211" s="30" t="s">
        <v>185</v>
      </c>
      <c r="E211" s="270">
        <v>1</v>
      </c>
      <c r="F211" s="271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</row>
    <row r="212" spans="3:16" x14ac:dyDescent="0.25">
      <c r="C212" s="267"/>
      <c r="D212" s="30" t="s">
        <v>186</v>
      </c>
      <c r="E212" s="272">
        <v>1</v>
      </c>
      <c r="F212" s="273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</row>
    <row r="214" spans="3:16" x14ac:dyDescent="0.25">
      <c r="C214" s="252" t="s">
        <v>38</v>
      </c>
      <c r="D214" s="249" t="s">
        <v>143</v>
      </c>
      <c r="E214" s="250"/>
      <c r="F214" s="251"/>
      <c r="G214" s="255" t="s">
        <v>39</v>
      </c>
      <c r="H214" s="255"/>
      <c r="I214" s="255"/>
      <c r="J214" s="255"/>
      <c r="K214" s="255"/>
      <c r="L214" s="255"/>
      <c r="M214" s="255"/>
      <c r="N214" s="255"/>
      <c r="O214" s="255"/>
      <c r="P214" s="255"/>
    </row>
    <row r="215" spans="3:16" x14ac:dyDescent="0.25">
      <c r="C215" s="253"/>
      <c r="D215" s="239">
        <v>0</v>
      </c>
      <c r="E215" s="239"/>
      <c r="F215" s="239"/>
      <c r="G215" s="24">
        <v>1</v>
      </c>
      <c r="H215" s="25">
        <v>2</v>
      </c>
      <c r="I215" s="25">
        <v>3</v>
      </c>
      <c r="J215" s="25">
        <v>4</v>
      </c>
      <c r="K215" s="25">
        <v>5</v>
      </c>
      <c r="L215" s="25">
        <v>6</v>
      </c>
      <c r="M215" s="25">
        <v>7</v>
      </c>
      <c r="N215" s="25">
        <v>8</v>
      </c>
      <c r="O215" s="25">
        <v>9</v>
      </c>
      <c r="P215" s="24">
        <v>10</v>
      </c>
    </row>
    <row r="216" spans="3:16" x14ac:dyDescent="0.25">
      <c r="C216" s="254"/>
      <c r="D216" s="95">
        <v>2024</v>
      </c>
      <c r="E216" s="95">
        <v>2025</v>
      </c>
      <c r="F216" s="95">
        <v>2026</v>
      </c>
      <c r="G216" s="95">
        <v>2027</v>
      </c>
      <c r="H216" s="95">
        <v>2028</v>
      </c>
      <c r="I216" s="95">
        <v>2029</v>
      </c>
      <c r="J216" s="95">
        <v>2030</v>
      </c>
      <c r="K216" s="95">
        <v>2031</v>
      </c>
      <c r="L216" s="95">
        <v>2032</v>
      </c>
      <c r="M216" s="95">
        <v>2033</v>
      </c>
      <c r="N216" s="95">
        <v>2034</v>
      </c>
      <c r="O216" s="95">
        <v>2035</v>
      </c>
      <c r="P216" s="95">
        <v>2036</v>
      </c>
    </row>
    <row r="217" spans="3:16" ht="25.5" x14ac:dyDescent="0.25">
      <c r="C217" s="28" t="s">
        <v>218</v>
      </c>
      <c r="D217" s="98">
        <f>+SUM(D218:D223)</f>
        <v>291.20000000000005</v>
      </c>
      <c r="E217" s="98">
        <f>+SUM(E218:E223)</f>
        <v>292</v>
      </c>
      <c r="F217" s="98">
        <f t="shared" ref="F217:P217" si="77">+SUM(F218:F223)</f>
        <v>292</v>
      </c>
      <c r="G217" s="106">
        <f t="shared" si="77"/>
        <v>292</v>
      </c>
      <c r="H217" s="106">
        <f t="shared" si="77"/>
        <v>292</v>
      </c>
      <c r="I217" s="106">
        <f t="shared" si="77"/>
        <v>292</v>
      </c>
      <c r="J217" s="106">
        <f t="shared" si="77"/>
        <v>292</v>
      </c>
      <c r="K217" s="106">
        <f t="shared" si="77"/>
        <v>292</v>
      </c>
      <c r="L217" s="106">
        <f t="shared" si="77"/>
        <v>292</v>
      </c>
      <c r="M217" s="106">
        <f t="shared" si="77"/>
        <v>292</v>
      </c>
      <c r="N217" s="106">
        <f t="shared" si="77"/>
        <v>292</v>
      </c>
      <c r="O217" s="106">
        <f t="shared" si="77"/>
        <v>292</v>
      </c>
      <c r="P217" s="106">
        <f t="shared" si="77"/>
        <v>292</v>
      </c>
    </row>
    <row r="218" spans="3:16" x14ac:dyDescent="0.25">
      <c r="C218" s="105" t="s">
        <v>181</v>
      </c>
      <c r="D218" s="94">
        <f>+'POBLACION DEMANDANTE EFECTIVA'!D125*E207</f>
        <v>43.2</v>
      </c>
      <c r="E218" s="94">
        <f>ROUND(($D$218*(1+$A$9)^(E216-$D$216)),0)</f>
        <v>43</v>
      </c>
      <c r="F218" s="94">
        <f>ROUND(($D$218*(1+$A$9)^(F216-$D$216)),0)</f>
        <v>43</v>
      </c>
      <c r="G218" s="94">
        <f>ROUND(($D$218*(1+$A$9)^(G216-$D$216)),0)</f>
        <v>43</v>
      </c>
      <c r="H218" s="94">
        <f t="shared" ref="H218:P218" si="78">ROUND(($D$218*(1+$A$9)^(H216-$D$216)),0)</f>
        <v>43</v>
      </c>
      <c r="I218" s="94">
        <f t="shared" si="78"/>
        <v>43</v>
      </c>
      <c r="J218" s="94">
        <f t="shared" si="78"/>
        <v>43</v>
      </c>
      <c r="K218" s="94">
        <f t="shared" si="78"/>
        <v>43</v>
      </c>
      <c r="L218" s="94">
        <f t="shared" si="78"/>
        <v>43</v>
      </c>
      <c r="M218" s="94">
        <f t="shared" si="78"/>
        <v>43</v>
      </c>
      <c r="N218" s="94">
        <f t="shared" si="78"/>
        <v>43</v>
      </c>
      <c r="O218" s="94">
        <f t="shared" si="78"/>
        <v>43</v>
      </c>
      <c r="P218" s="94">
        <f t="shared" si="78"/>
        <v>43</v>
      </c>
    </row>
    <row r="219" spans="3:16" x14ac:dyDescent="0.25">
      <c r="C219" s="51" t="s">
        <v>182</v>
      </c>
      <c r="D219" s="94">
        <f>+'POBLACION DEMANDANTE EFECTIVA'!D126*E208</f>
        <v>69.600000000000009</v>
      </c>
      <c r="E219" s="94">
        <f>ROUND(($D$219*(1+$A$9)^(E216-$D$216)),0)</f>
        <v>70</v>
      </c>
      <c r="F219" s="94">
        <f t="shared" ref="F219:P219" si="79">ROUND(($D$219*(1+$A$9)^(F216-$D$216)),0)</f>
        <v>70</v>
      </c>
      <c r="G219" s="94">
        <f>ROUND(($D$219*(1+$A$9)^(G216-$D$216)),0)</f>
        <v>70</v>
      </c>
      <c r="H219" s="94">
        <f>ROUND(($D$219*(1+$A$9)^(H216-$D$216)),0)</f>
        <v>70</v>
      </c>
      <c r="I219" s="94">
        <f>ROUND(($D$219*(1+$A$9)^(I216-$D$216)),0)</f>
        <v>70</v>
      </c>
      <c r="J219" s="94">
        <f>ROUND(($D$219*(1+$A$9)^(J216-$D$216)),0)</f>
        <v>70</v>
      </c>
      <c r="K219" s="94">
        <f t="shared" si="79"/>
        <v>70</v>
      </c>
      <c r="L219" s="94">
        <f t="shared" si="79"/>
        <v>70</v>
      </c>
      <c r="M219" s="94">
        <f t="shared" si="79"/>
        <v>70</v>
      </c>
      <c r="N219" s="94">
        <f t="shared" si="79"/>
        <v>70</v>
      </c>
      <c r="O219" s="94">
        <f t="shared" si="79"/>
        <v>70</v>
      </c>
      <c r="P219" s="94">
        <f t="shared" si="79"/>
        <v>70</v>
      </c>
    </row>
    <row r="220" spans="3:16" x14ac:dyDescent="0.25">
      <c r="C220" s="51" t="s">
        <v>183</v>
      </c>
      <c r="D220" s="94">
        <f>+'POBLACION DEMANDANTE EFECTIVA'!D127*E209</f>
        <v>52.800000000000004</v>
      </c>
      <c r="E220" s="94">
        <f>ROUND(($D$220*(1+$A$9)^(E216-$D$216)),0)</f>
        <v>53</v>
      </c>
      <c r="F220" s="94">
        <f t="shared" ref="F220:P220" si="80">ROUND(($D$220*(1+$A$9)^(F216-$D$216)),0)</f>
        <v>53</v>
      </c>
      <c r="G220" s="94">
        <f t="shared" si="80"/>
        <v>53</v>
      </c>
      <c r="H220" s="94">
        <f t="shared" si="80"/>
        <v>53</v>
      </c>
      <c r="I220" s="94">
        <f>ROUND(($D$220*(1+$A$9)^(I216-$D$216)),0)</f>
        <v>53</v>
      </c>
      <c r="J220" s="94">
        <f t="shared" si="80"/>
        <v>53</v>
      </c>
      <c r="K220" s="94">
        <f t="shared" si="80"/>
        <v>53</v>
      </c>
      <c r="L220" s="94">
        <f t="shared" si="80"/>
        <v>53</v>
      </c>
      <c r="M220" s="94">
        <f t="shared" si="80"/>
        <v>53</v>
      </c>
      <c r="N220" s="94">
        <f t="shared" si="80"/>
        <v>53</v>
      </c>
      <c r="O220" s="94">
        <f t="shared" si="80"/>
        <v>53</v>
      </c>
      <c r="P220" s="94">
        <f t="shared" si="80"/>
        <v>53</v>
      </c>
    </row>
    <row r="221" spans="3:16" x14ac:dyDescent="0.25">
      <c r="C221" s="51" t="s">
        <v>184</v>
      </c>
      <c r="D221" s="94">
        <f>+'POBLACION DEMANDANTE EFECTIVA'!D128*E210</f>
        <v>43.2</v>
      </c>
      <c r="E221" s="94">
        <f>ROUND(($D$221*(1+$A$9)^(E216-$D$216)),0)</f>
        <v>43</v>
      </c>
      <c r="F221" s="94">
        <f t="shared" ref="F221:P221" si="81">ROUND(($D$221*(1+$A$9)^(F216-$D$216)),0)</f>
        <v>43</v>
      </c>
      <c r="G221" s="94">
        <f>ROUND(($D$221*(1+$A$9)^(G216-$D$216)),0)</f>
        <v>43</v>
      </c>
      <c r="H221" s="94">
        <f>ROUND(($D$221*(1+$A$9)^(H216-$D$216)),0)</f>
        <v>43</v>
      </c>
      <c r="I221" s="94">
        <f>ROUND(($D$221*(1+$A$9)^(I216-$D$216)),0)</f>
        <v>43</v>
      </c>
      <c r="J221" s="94">
        <f t="shared" si="81"/>
        <v>43</v>
      </c>
      <c r="K221" s="94">
        <f t="shared" si="81"/>
        <v>43</v>
      </c>
      <c r="L221" s="94">
        <f t="shared" si="81"/>
        <v>43</v>
      </c>
      <c r="M221" s="94">
        <f t="shared" si="81"/>
        <v>43</v>
      </c>
      <c r="N221" s="94">
        <f t="shared" si="81"/>
        <v>43</v>
      </c>
      <c r="O221" s="94">
        <f t="shared" si="81"/>
        <v>43</v>
      </c>
      <c r="P221" s="94">
        <f t="shared" si="81"/>
        <v>43</v>
      </c>
    </row>
    <row r="222" spans="3:16" x14ac:dyDescent="0.25">
      <c r="C222" s="51" t="s">
        <v>185</v>
      </c>
      <c r="D222" s="94">
        <f>+'POBLACION DEMANDANTE EFECTIVA'!D129*E211</f>
        <v>36.800000000000004</v>
      </c>
      <c r="E222" s="94">
        <f>ROUND(($D$222*(1+$A$9)^(E216-$D$216)),0)</f>
        <v>37</v>
      </c>
      <c r="F222" s="94">
        <f t="shared" ref="F222:P222" si="82">ROUND(($D$222*(1+$A$9)^(F216-$D$216)),0)</f>
        <v>37</v>
      </c>
      <c r="G222" s="94">
        <f t="shared" si="82"/>
        <v>37</v>
      </c>
      <c r="H222" s="94">
        <f t="shared" si="82"/>
        <v>37</v>
      </c>
      <c r="I222" s="94">
        <f t="shared" si="82"/>
        <v>37</v>
      </c>
      <c r="J222" s="94">
        <f t="shared" si="82"/>
        <v>37</v>
      </c>
      <c r="K222" s="94">
        <f t="shared" si="82"/>
        <v>37</v>
      </c>
      <c r="L222" s="94">
        <f t="shared" si="82"/>
        <v>37</v>
      </c>
      <c r="M222" s="94">
        <f t="shared" si="82"/>
        <v>37</v>
      </c>
      <c r="N222" s="94">
        <f t="shared" si="82"/>
        <v>37</v>
      </c>
      <c r="O222" s="94">
        <f t="shared" si="82"/>
        <v>37</v>
      </c>
      <c r="P222" s="94">
        <f t="shared" si="82"/>
        <v>37</v>
      </c>
    </row>
    <row r="223" spans="3:16" x14ac:dyDescent="0.25">
      <c r="C223" s="109" t="s">
        <v>186</v>
      </c>
      <c r="D223" s="94">
        <f>+'POBLACION DEMANDANTE EFECTIVA'!D130*E212</f>
        <v>45.6</v>
      </c>
      <c r="E223" s="94">
        <f>ROUND(($D$223*(1+$A$9)^(E216-$D$216)),0)</f>
        <v>46</v>
      </c>
      <c r="F223" s="94">
        <f t="shared" ref="F223:P223" si="83">ROUND(($D$223*(1+$A$9)^(F216-$D$216)),0)</f>
        <v>46</v>
      </c>
      <c r="G223" s="94">
        <f>ROUND(($D$223*(1+$A$9)^(G216-$D$216)),0)</f>
        <v>46</v>
      </c>
      <c r="H223" s="94">
        <f>ROUND(($D$223*(1+$A$9)^(H216-$D$216)),0)</f>
        <v>46</v>
      </c>
      <c r="I223" s="94">
        <f>ROUND(($D$223*(1+$A$9)^(I216-$D$216)),0)</f>
        <v>46</v>
      </c>
      <c r="J223" s="94">
        <f t="shared" si="83"/>
        <v>46</v>
      </c>
      <c r="K223" s="94">
        <f t="shared" si="83"/>
        <v>46</v>
      </c>
      <c r="L223" s="94">
        <f t="shared" si="83"/>
        <v>46</v>
      </c>
      <c r="M223" s="94">
        <f t="shared" si="83"/>
        <v>46</v>
      </c>
      <c r="N223" s="94">
        <f t="shared" si="83"/>
        <v>46</v>
      </c>
      <c r="O223" s="94">
        <f t="shared" si="83"/>
        <v>46</v>
      </c>
      <c r="P223" s="94">
        <f t="shared" si="83"/>
        <v>46</v>
      </c>
    </row>
    <row r="225" spans="3:16" x14ac:dyDescent="0.25">
      <c r="C225" s="267" t="s">
        <v>35</v>
      </c>
      <c r="D225" s="267"/>
      <c r="E225" s="267"/>
      <c r="F225" s="267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</row>
    <row r="226" spans="3:16" ht="39.75" customHeight="1" x14ac:dyDescent="0.25">
      <c r="C226" s="20" t="s">
        <v>30</v>
      </c>
      <c r="D226" s="20" t="s">
        <v>31</v>
      </c>
      <c r="E226" s="239" t="s">
        <v>451</v>
      </c>
      <c r="F226" s="239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</row>
    <row r="227" spans="3:16" x14ac:dyDescent="0.25">
      <c r="C227" s="28" t="s">
        <v>253</v>
      </c>
      <c r="D227" s="109" t="s">
        <v>195</v>
      </c>
      <c r="E227" s="274">
        <v>6</v>
      </c>
      <c r="F227" s="274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</row>
    <row r="229" spans="3:16" x14ac:dyDescent="0.25">
      <c r="C229" s="239" t="s">
        <v>24</v>
      </c>
      <c r="D229" s="249" t="s">
        <v>143</v>
      </c>
      <c r="E229" s="250"/>
      <c r="F229" s="251"/>
      <c r="G229" s="255" t="s">
        <v>39</v>
      </c>
      <c r="H229" s="255"/>
      <c r="I229" s="255"/>
      <c r="J229" s="255"/>
      <c r="K229" s="255"/>
      <c r="L229" s="255"/>
      <c r="M229" s="255"/>
      <c r="N229" s="255"/>
      <c r="O229" s="255"/>
      <c r="P229" s="255"/>
    </row>
    <row r="230" spans="3:16" x14ac:dyDescent="0.25">
      <c r="C230" s="239"/>
      <c r="D230" s="259">
        <v>0</v>
      </c>
      <c r="E230" s="260"/>
      <c r="F230" s="261"/>
      <c r="G230" s="24">
        <v>1</v>
      </c>
      <c r="H230" s="24">
        <v>2</v>
      </c>
      <c r="I230" s="24">
        <v>3</v>
      </c>
      <c r="J230" s="24">
        <v>4</v>
      </c>
      <c r="K230" s="24">
        <v>5</v>
      </c>
      <c r="L230" s="24">
        <v>6</v>
      </c>
      <c r="M230" s="24">
        <v>7</v>
      </c>
      <c r="N230" s="24">
        <v>8</v>
      </c>
      <c r="O230" s="24">
        <v>9</v>
      </c>
      <c r="P230" s="24">
        <v>10</v>
      </c>
    </row>
    <row r="231" spans="3:16" x14ac:dyDescent="0.25">
      <c r="C231" s="239"/>
      <c r="D231" s="20">
        <v>2024</v>
      </c>
      <c r="E231" s="20">
        <v>2025</v>
      </c>
      <c r="F231" s="20">
        <v>2026</v>
      </c>
      <c r="G231" s="20">
        <v>2027</v>
      </c>
      <c r="H231" s="20">
        <v>2028</v>
      </c>
      <c r="I231" s="20">
        <v>2029</v>
      </c>
      <c r="J231" s="20">
        <v>2030</v>
      </c>
      <c r="K231" s="20">
        <v>2031</v>
      </c>
      <c r="L231" s="20">
        <v>2032</v>
      </c>
      <c r="M231" s="20">
        <v>2033</v>
      </c>
      <c r="N231" s="20">
        <v>2034</v>
      </c>
      <c r="O231" s="20">
        <v>2035</v>
      </c>
      <c r="P231" s="20">
        <v>2036</v>
      </c>
    </row>
    <row r="232" spans="3:16" x14ac:dyDescent="0.25">
      <c r="C232" s="115" t="s">
        <v>213</v>
      </c>
      <c r="D232" s="97">
        <f t="shared" ref="D232:I232" si="84">SUM(D233:D233)</f>
        <v>86.4</v>
      </c>
      <c r="E232" s="97">
        <f t="shared" si="84"/>
        <v>86</v>
      </c>
      <c r="F232" s="97">
        <f t="shared" si="84"/>
        <v>86</v>
      </c>
      <c r="G232" s="106">
        <f t="shared" si="84"/>
        <v>86</v>
      </c>
      <c r="H232" s="106">
        <f t="shared" si="84"/>
        <v>87</v>
      </c>
      <c r="I232" s="106">
        <f t="shared" si="84"/>
        <v>87</v>
      </c>
      <c r="J232" s="106">
        <f t="shared" ref="J232:P232" si="85">SUM(J233:J233)</f>
        <v>87</v>
      </c>
      <c r="K232" s="106">
        <f t="shared" si="85"/>
        <v>87</v>
      </c>
      <c r="L232" s="106">
        <f t="shared" si="85"/>
        <v>87</v>
      </c>
      <c r="M232" s="106">
        <f t="shared" si="85"/>
        <v>87</v>
      </c>
      <c r="N232" s="106">
        <f t="shared" si="85"/>
        <v>87</v>
      </c>
      <c r="O232" s="106">
        <f t="shared" si="85"/>
        <v>87</v>
      </c>
      <c r="P232" s="106">
        <f t="shared" si="85"/>
        <v>87</v>
      </c>
    </row>
    <row r="233" spans="3:16" x14ac:dyDescent="0.25">
      <c r="C233" s="105" t="s">
        <v>33</v>
      </c>
      <c r="D233" s="96">
        <f>+'POBLACION DEMANDANTE EFECTIVA'!D136*E227</f>
        <v>86.4</v>
      </c>
      <c r="E233" s="96">
        <f>ROUND(($D$233*(1+$A$9)^(E231-$D$231)),0)</f>
        <v>86</v>
      </c>
      <c r="F233" s="96">
        <f t="shared" ref="F233:P233" si="86">ROUND(($D$233*(1+$A$9)^(F231-$D$231)),0)</f>
        <v>86</v>
      </c>
      <c r="G233" s="96">
        <f t="shared" si="86"/>
        <v>86</v>
      </c>
      <c r="H233" s="96">
        <f t="shared" si="86"/>
        <v>87</v>
      </c>
      <c r="I233" s="96">
        <f t="shared" si="86"/>
        <v>87</v>
      </c>
      <c r="J233" s="96">
        <f t="shared" si="86"/>
        <v>87</v>
      </c>
      <c r="K233" s="96">
        <f t="shared" si="86"/>
        <v>87</v>
      </c>
      <c r="L233" s="96">
        <f t="shared" si="86"/>
        <v>87</v>
      </c>
      <c r="M233" s="96">
        <f t="shared" si="86"/>
        <v>87</v>
      </c>
      <c r="N233" s="96">
        <f t="shared" si="86"/>
        <v>87</v>
      </c>
      <c r="O233" s="96">
        <f t="shared" si="86"/>
        <v>87</v>
      </c>
      <c r="P233" s="96">
        <f t="shared" si="86"/>
        <v>87</v>
      </c>
    </row>
    <row r="234" spans="3:16" s="112" customFormat="1" x14ac:dyDescent="0.25"/>
    <row r="235" spans="3:16" x14ac:dyDescent="0.25">
      <c r="C235" s="267" t="s">
        <v>433</v>
      </c>
      <c r="D235" s="267"/>
      <c r="E235" s="267"/>
      <c r="F235" s="267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</row>
    <row r="236" spans="3:16" ht="37.5" customHeight="1" x14ac:dyDescent="0.25">
      <c r="C236" s="20" t="s">
        <v>30</v>
      </c>
      <c r="D236" s="20" t="s">
        <v>31</v>
      </c>
      <c r="E236" s="239" t="s">
        <v>448</v>
      </c>
      <c r="F236" s="239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</row>
    <row r="237" spans="3:16" x14ac:dyDescent="0.25">
      <c r="C237" s="28" t="s">
        <v>436</v>
      </c>
      <c r="D237" s="205" t="str">
        <f>+C243</f>
        <v xml:space="preserve">4 a 85 años a mas </v>
      </c>
      <c r="E237" s="274">
        <v>2</v>
      </c>
      <c r="F237" s="274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</row>
    <row r="238" spans="3:16" x14ac:dyDescent="0.25">
      <c r="C238" s="1"/>
    </row>
    <row r="239" spans="3:16" x14ac:dyDescent="0.25">
      <c r="C239" s="252" t="s">
        <v>222</v>
      </c>
      <c r="D239" s="249" t="s">
        <v>143</v>
      </c>
      <c r="E239" s="250"/>
      <c r="F239" s="251"/>
      <c r="G239" s="255" t="s">
        <v>39</v>
      </c>
      <c r="H239" s="255"/>
      <c r="I239" s="255"/>
      <c r="J239" s="255"/>
      <c r="K239" s="255"/>
      <c r="L239" s="255"/>
      <c r="M239" s="255"/>
      <c r="N239" s="255"/>
      <c r="O239" s="255"/>
      <c r="P239" s="255"/>
    </row>
    <row r="240" spans="3:16" x14ac:dyDescent="0.25">
      <c r="C240" s="253"/>
      <c r="D240" s="239">
        <v>0</v>
      </c>
      <c r="E240" s="239"/>
      <c r="F240" s="239"/>
      <c r="G240" s="24">
        <v>1</v>
      </c>
      <c r="H240" s="25">
        <v>2</v>
      </c>
      <c r="I240" s="25">
        <v>3</v>
      </c>
      <c r="J240" s="25">
        <v>4</v>
      </c>
      <c r="K240" s="25">
        <v>5</v>
      </c>
      <c r="L240" s="25">
        <v>6</v>
      </c>
      <c r="M240" s="25">
        <v>7</v>
      </c>
      <c r="N240" s="25">
        <v>8</v>
      </c>
      <c r="O240" s="25">
        <v>9</v>
      </c>
      <c r="P240" s="24">
        <v>10</v>
      </c>
    </row>
    <row r="241" spans="3:16" x14ac:dyDescent="0.25">
      <c r="C241" s="254"/>
      <c r="D241" s="95">
        <v>2024</v>
      </c>
      <c r="E241" s="95">
        <v>2025</v>
      </c>
      <c r="F241" s="95">
        <v>2026</v>
      </c>
      <c r="G241" s="95">
        <v>2027</v>
      </c>
      <c r="H241" s="95">
        <v>2028</v>
      </c>
      <c r="I241" s="95">
        <v>2029</v>
      </c>
      <c r="J241" s="95">
        <v>2030</v>
      </c>
      <c r="K241" s="95">
        <v>2031</v>
      </c>
      <c r="L241" s="95">
        <v>2032</v>
      </c>
      <c r="M241" s="95">
        <v>2033</v>
      </c>
      <c r="N241" s="95">
        <v>2034</v>
      </c>
      <c r="O241" s="95">
        <v>2035</v>
      </c>
      <c r="P241" s="95">
        <v>2036</v>
      </c>
    </row>
    <row r="242" spans="3:16" x14ac:dyDescent="0.25">
      <c r="C242" s="28" t="s">
        <v>391</v>
      </c>
      <c r="D242" s="98">
        <f>+D243</f>
        <v>313.82399999999996</v>
      </c>
      <c r="E242" s="98">
        <f t="shared" ref="E242:P242" si="87">+E243</f>
        <v>314</v>
      </c>
      <c r="F242" s="98">
        <f t="shared" si="87"/>
        <v>314</v>
      </c>
      <c r="G242" s="106">
        <f t="shared" si="87"/>
        <v>314</v>
      </c>
      <c r="H242" s="106">
        <f t="shared" si="87"/>
        <v>314</v>
      </c>
      <c r="I242" s="106">
        <f t="shared" si="87"/>
        <v>314</v>
      </c>
      <c r="J242" s="106">
        <f t="shared" si="87"/>
        <v>314</v>
      </c>
      <c r="K242" s="106">
        <f t="shared" si="87"/>
        <v>314</v>
      </c>
      <c r="L242" s="106">
        <f t="shared" si="87"/>
        <v>315</v>
      </c>
      <c r="M242" s="106">
        <f t="shared" si="87"/>
        <v>315</v>
      </c>
      <c r="N242" s="106">
        <f t="shared" si="87"/>
        <v>315</v>
      </c>
      <c r="O242" s="106">
        <f t="shared" si="87"/>
        <v>315</v>
      </c>
      <c r="P242" s="106">
        <f t="shared" si="87"/>
        <v>315</v>
      </c>
    </row>
    <row r="243" spans="3:16" x14ac:dyDescent="0.25">
      <c r="C243" s="195" t="s">
        <v>393</v>
      </c>
      <c r="D243" s="94">
        <f>+'POBLACION DEMANDANTE EFECTIVA'!D142*E237</f>
        <v>313.82399999999996</v>
      </c>
      <c r="E243" s="94">
        <f t="shared" ref="E243:P243" si="88">ROUND(($D$243*(1+$A$9)^(E241-$D$241)),0)</f>
        <v>314</v>
      </c>
      <c r="F243" s="94">
        <f t="shared" si="88"/>
        <v>314</v>
      </c>
      <c r="G243" s="94">
        <f t="shared" si="88"/>
        <v>314</v>
      </c>
      <c r="H243" s="94">
        <f t="shared" si="88"/>
        <v>314</v>
      </c>
      <c r="I243" s="94">
        <f t="shared" si="88"/>
        <v>314</v>
      </c>
      <c r="J243" s="94">
        <f t="shared" si="88"/>
        <v>314</v>
      </c>
      <c r="K243" s="94">
        <f t="shared" si="88"/>
        <v>314</v>
      </c>
      <c r="L243" s="94">
        <f t="shared" si="88"/>
        <v>315</v>
      </c>
      <c r="M243" s="94">
        <f t="shared" si="88"/>
        <v>315</v>
      </c>
      <c r="N243" s="94">
        <f t="shared" si="88"/>
        <v>315</v>
      </c>
      <c r="O243" s="94">
        <f t="shared" si="88"/>
        <v>315</v>
      </c>
      <c r="P243" s="94">
        <f t="shared" si="88"/>
        <v>315</v>
      </c>
    </row>
    <row r="245" spans="3:16" x14ac:dyDescent="0.25">
      <c r="C245" s="267" t="str">
        <f>+C235</f>
        <v xml:space="preserve">RATIO DE CONCENTRACION </v>
      </c>
      <c r="D245" s="267"/>
      <c r="E245" s="267"/>
      <c r="F245" s="267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</row>
    <row r="246" spans="3:16" ht="37.5" customHeight="1" x14ac:dyDescent="0.25">
      <c r="C246" s="20" t="s">
        <v>30</v>
      </c>
      <c r="D246" s="20" t="s">
        <v>31</v>
      </c>
      <c r="E246" s="239" t="s">
        <v>448</v>
      </c>
      <c r="F246" s="239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</row>
    <row r="247" spans="3:16" x14ac:dyDescent="0.25">
      <c r="C247" s="28" t="s">
        <v>437</v>
      </c>
      <c r="D247" s="205" t="str">
        <f>+C253</f>
        <v xml:space="preserve">3 a 85 años a mas </v>
      </c>
      <c r="E247" s="274">
        <v>2</v>
      </c>
      <c r="F247" s="274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</row>
    <row r="249" spans="3:16" x14ac:dyDescent="0.25">
      <c r="C249" s="252" t="s">
        <v>222</v>
      </c>
      <c r="D249" s="249" t="s">
        <v>143</v>
      </c>
      <c r="E249" s="250"/>
      <c r="F249" s="251"/>
      <c r="G249" s="259" t="s">
        <v>39</v>
      </c>
      <c r="H249" s="260"/>
      <c r="I249" s="260"/>
      <c r="J249" s="260"/>
      <c r="K249" s="260"/>
      <c r="L249" s="260"/>
      <c r="M249" s="260"/>
      <c r="N249" s="260"/>
      <c r="O249" s="260"/>
      <c r="P249" s="260"/>
    </row>
    <row r="250" spans="3:16" x14ac:dyDescent="0.25">
      <c r="C250" s="253"/>
      <c r="D250" s="249">
        <v>0</v>
      </c>
      <c r="E250" s="250"/>
      <c r="F250" s="251"/>
      <c r="G250" s="24">
        <v>1</v>
      </c>
      <c r="H250" s="25">
        <v>2</v>
      </c>
      <c r="I250" s="25">
        <v>3</v>
      </c>
      <c r="J250" s="25">
        <v>4</v>
      </c>
      <c r="K250" s="25">
        <v>5</v>
      </c>
      <c r="L250" s="25">
        <v>6</v>
      </c>
      <c r="M250" s="25">
        <v>7</v>
      </c>
      <c r="N250" s="25">
        <v>8</v>
      </c>
      <c r="O250" s="25">
        <v>9</v>
      </c>
      <c r="P250" s="24">
        <v>10</v>
      </c>
    </row>
    <row r="251" spans="3:16" x14ac:dyDescent="0.25">
      <c r="C251" s="254"/>
      <c r="D251" s="95">
        <v>2024</v>
      </c>
      <c r="E251" s="95">
        <v>2025</v>
      </c>
      <c r="F251" s="95">
        <v>2026</v>
      </c>
      <c r="G251" s="95">
        <v>2027</v>
      </c>
      <c r="H251" s="95">
        <v>2028</v>
      </c>
      <c r="I251" s="95">
        <v>2029</v>
      </c>
      <c r="J251" s="95">
        <v>2030</v>
      </c>
      <c r="K251" s="95">
        <v>2031</v>
      </c>
      <c r="L251" s="95">
        <v>2032</v>
      </c>
      <c r="M251" s="95">
        <v>2033</v>
      </c>
      <c r="N251" s="95">
        <v>2034</v>
      </c>
      <c r="O251" s="95">
        <v>2035</v>
      </c>
      <c r="P251" s="95">
        <v>2036</v>
      </c>
    </row>
    <row r="252" spans="3:16" x14ac:dyDescent="0.25">
      <c r="C252" s="28" t="s">
        <v>349</v>
      </c>
      <c r="D252" s="98">
        <f>+D253</f>
        <v>674.8</v>
      </c>
      <c r="E252" s="98">
        <f t="shared" ref="E252:P252" si="89">+E253</f>
        <v>675</v>
      </c>
      <c r="F252" s="98">
        <f t="shared" si="89"/>
        <v>675</v>
      </c>
      <c r="G252" s="106">
        <f t="shared" si="89"/>
        <v>675</v>
      </c>
      <c r="H252" s="106">
        <f t="shared" si="89"/>
        <v>676</v>
      </c>
      <c r="I252" s="106">
        <f t="shared" si="89"/>
        <v>676</v>
      </c>
      <c r="J252" s="106">
        <f t="shared" si="89"/>
        <v>676</v>
      </c>
      <c r="K252" s="106">
        <f t="shared" si="89"/>
        <v>676</v>
      </c>
      <c r="L252" s="106">
        <f t="shared" si="89"/>
        <v>676</v>
      </c>
      <c r="M252" s="106">
        <f t="shared" si="89"/>
        <v>677</v>
      </c>
      <c r="N252" s="106">
        <f t="shared" si="89"/>
        <v>677</v>
      </c>
      <c r="O252" s="106">
        <f t="shared" si="89"/>
        <v>677</v>
      </c>
      <c r="P252" s="106">
        <f t="shared" si="89"/>
        <v>677</v>
      </c>
    </row>
    <row r="253" spans="3:16" x14ac:dyDescent="0.25">
      <c r="C253" s="195" t="s">
        <v>397</v>
      </c>
      <c r="D253" s="94">
        <f>+'POBLACION DEMANDANTE EFECTIVA'!D148*E247</f>
        <v>674.8</v>
      </c>
      <c r="E253" s="94">
        <f t="shared" ref="E253:P253" si="90">ROUND(($D$253*(1+$A$9)^(E251-$D$251)),0)</f>
        <v>675</v>
      </c>
      <c r="F253" s="94">
        <f t="shared" si="90"/>
        <v>675</v>
      </c>
      <c r="G253" s="94">
        <f t="shared" si="90"/>
        <v>675</v>
      </c>
      <c r="H253" s="94">
        <f t="shared" si="90"/>
        <v>676</v>
      </c>
      <c r="I253" s="94">
        <f t="shared" si="90"/>
        <v>676</v>
      </c>
      <c r="J253" s="94">
        <f t="shared" si="90"/>
        <v>676</v>
      </c>
      <c r="K253" s="94">
        <f t="shared" si="90"/>
        <v>676</v>
      </c>
      <c r="L253" s="94">
        <f t="shared" si="90"/>
        <v>676</v>
      </c>
      <c r="M253" s="94">
        <f t="shared" si="90"/>
        <v>677</v>
      </c>
      <c r="N253" s="94">
        <f t="shared" si="90"/>
        <v>677</v>
      </c>
      <c r="O253" s="94">
        <f t="shared" si="90"/>
        <v>677</v>
      </c>
      <c r="P253" s="94">
        <f t="shared" si="90"/>
        <v>677</v>
      </c>
    </row>
    <row r="255" spans="3:16" x14ac:dyDescent="0.25">
      <c r="C255" s="267" t="s">
        <v>35</v>
      </c>
      <c r="D255" s="267"/>
      <c r="E255" s="267"/>
      <c r="F255" s="267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</row>
    <row r="256" spans="3:16" ht="39.75" customHeight="1" x14ac:dyDescent="0.25">
      <c r="C256" s="20" t="s">
        <v>30</v>
      </c>
      <c r="D256" s="20" t="s">
        <v>31</v>
      </c>
      <c r="E256" s="239" t="s">
        <v>448</v>
      </c>
      <c r="F256" s="239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</row>
    <row r="257" spans="3:16" x14ac:dyDescent="0.25">
      <c r="C257" s="28" t="s">
        <v>438</v>
      </c>
      <c r="D257" s="205" t="str">
        <f>+C263</f>
        <v xml:space="preserve">0 a 85 años a mas </v>
      </c>
      <c r="E257" s="274">
        <v>1</v>
      </c>
      <c r="F257" s="274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</row>
    <row r="258" spans="3:16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3:16" x14ac:dyDescent="0.25">
      <c r="C259" s="252" t="s">
        <v>222</v>
      </c>
      <c r="D259" s="249" t="s">
        <v>143</v>
      </c>
      <c r="E259" s="250"/>
      <c r="F259" s="251"/>
      <c r="G259" s="255" t="s">
        <v>39</v>
      </c>
      <c r="H259" s="255"/>
      <c r="I259" s="255"/>
      <c r="J259" s="255"/>
      <c r="K259" s="255"/>
      <c r="L259" s="255"/>
      <c r="M259" s="255"/>
      <c r="N259" s="255"/>
      <c r="O259" s="255"/>
      <c r="P259" s="255"/>
    </row>
    <row r="260" spans="3:16" x14ac:dyDescent="0.25">
      <c r="C260" s="253"/>
      <c r="D260" s="239">
        <v>0</v>
      </c>
      <c r="E260" s="239"/>
      <c r="F260" s="239"/>
      <c r="G260" s="24">
        <v>1</v>
      </c>
      <c r="H260" s="25">
        <v>2</v>
      </c>
      <c r="I260" s="25">
        <v>3</v>
      </c>
      <c r="J260" s="25">
        <v>4</v>
      </c>
      <c r="K260" s="25">
        <v>5</v>
      </c>
      <c r="L260" s="25">
        <v>6</v>
      </c>
      <c r="M260" s="25">
        <v>7</v>
      </c>
      <c r="N260" s="25">
        <v>8</v>
      </c>
      <c r="O260" s="25">
        <v>9</v>
      </c>
      <c r="P260" s="24">
        <v>10</v>
      </c>
    </row>
    <row r="261" spans="3:16" x14ac:dyDescent="0.25">
      <c r="C261" s="254"/>
      <c r="D261" s="95">
        <v>2024</v>
      </c>
      <c r="E261" s="95">
        <v>2025</v>
      </c>
      <c r="F261" s="95">
        <v>2026</v>
      </c>
      <c r="G261" s="95">
        <v>2027</v>
      </c>
      <c r="H261" s="95">
        <v>2028</v>
      </c>
      <c r="I261" s="95">
        <v>2029</v>
      </c>
      <c r="J261" s="95">
        <v>2030</v>
      </c>
      <c r="K261" s="95">
        <v>2031</v>
      </c>
      <c r="L261" s="95">
        <v>2032</v>
      </c>
      <c r="M261" s="95">
        <v>2033</v>
      </c>
      <c r="N261" s="95">
        <v>2034</v>
      </c>
      <c r="O261" s="95">
        <v>2035</v>
      </c>
      <c r="P261" s="95">
        <v>2036</v>
      </c>
    </row>
    <row r="262" spans="3:16" x14ac:dyDescent="0.25">
      <c r="C262" s="28" t="s">
        <v>350</v>
      </c>
      <c r="D262" s="98">
        <f>+D263</f>
        <v>170.35199999999998</v>
      </c>
      <c r="E262" s="98">
        <f t="shared" ref="E262:P262" si="91">+E263</f>
        <v>170</v>
      </c>
      <c r="F262" s="98">
        <f t="shared" si="91"/>
        <v>170</v>
      </c>
      <c r="G262" s="106">
        <f t="shared" si="91"/>
        <v>171</v>
      </c>
      <c r="H262" s="106">
        <f t="shared" si="91"/>
        <v>171</v>
      </c>
      <c r="I262" s="106">
        <f t="shared" si="91"/>
        <v>171</v>
      </c>
      <c r="J262" s="106">
        <f t="shared" si="91"/>
        <v>171</v>
      </c>
      <c r="K262" s="106">
        <f t="shared" si="91"/>
        <v>171</v>
      </c>
      <c r="L262" s="106">
        <f t="shared" si="91"/>
        <v>171</v>
      </c>
      <c r="M262" s="106">
        <f t="shared" si="91"/>
        <v>171</v>
      </c>
      <c r="N262" s="106">
        <f t="shared" si="91"/>
        <v>171</v>
      </c>
      <c r="O262" s="106">
        <f t="shared" si="91"/>
        <v>171</v>
      </c>
      <c r="P262" s="106">
        <f t="shared" si="91"/>
        <v>171</v>
      </c>
    </row>
    <row r="263" spans="3:16" x14ac:dyDescent="0.25">
      <c r="C263" s="195" t="s">
        <v>392</v>
      </c>
      <c r="D263" s="94">
        <f>+'POBLACION DEMANDANTE EFECTIVA'!D154*E257</f>
        <v>170.35199999999998</v>
      </c>
      <c r="E263" s="94">
        <f t="shared" ref="E263:K263" si="92">ROUND(($D$263*(1+$A$9)^(E261-$D$261)),0)</f>
        <v>170</v>
      </c>
      <c r="F263" s="94">
        <f t="shared" si="92"/>
        <v>170</v>
      </c>
      <c r="G263" s="94">
        <f t="shared" si="92"/>
        <v>171</v>
      </c>
      <c r="H263" s="94">
        <f t="shared" si="92"/>
        <v>171</v>
      </c>
      <c r="I263" s="94">
        <f t="shared" si="92"/>
        <v>171</v>
      </c>
      <c r="J263" s="94">
        <f t="shared" si="92"/>
        <v>171</v>
      </c>
      <c r="K263" s="94">
        <f t="shared" si="92"/>
        <v>171</v>
      </c>
      <c r="L263" s="94">
        <f t="shared" ref="L263:P263" si="93">ROUND(($D$263*(1+$A$9)^(L261-$D$261)),0)</f>
        <v>171</v>
      </c>
      <c r="M263" s="94">
        <f t="shared" si="93"/>
        <v>171</v>
      </c>
      <c r="N263" s="94">
        <f t="shared" si="93"/>
        <v>171</v>
      </c>
      <c r="O263" s="94">
        <f t="shared" si="93"/>
        <v>171</v>
      </c>
      <c r="P263" s="94">
        <f t="shared" si="93"/>
        <v>171</v>
      </c>
    </row>
    <row r="265" spans="3:16" x14ac:dyDescent="0.25">
      <c r="C265" s="267" t="s">
        <v>35</v>
      </c>
      <c r="D265" s="267"/>
      <c r="E265" s="267"/>
      <c r="F265" s="267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</row>
    <row r="266" spans="3:16" ht="37.5" customHeight="1" x14ac:dyDescent="0.25">
      <c r="C266" s="20" t="s">
        <v>30</v>
      </c>
      <c r="D266" s="20" t="s">
        <v>31</v>
      </c>
      <c r="E266" s="239" t="s">
        <v>448</v>
      </c>
      <c r="F266" s="239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</row>
    <row r="267" spans="3:16" ht="34.5" customHeight="1" x14ac:dyDescent="0.25">
      <c r="C267" s="28" t="s">
        <v>439</v>
      </c>
      <c r="D267" s="205" t="str">
        <f>+C274</f>
        <v xml:space="preserve">0 a 85 años a mas </v>
      </c>
      <c r="E267" s="274">
        <v>1</v>
      </c>
      <c r="F267" s="274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</row>
    <row r="268" spans="3:16" x14ac:dyDescent="0.25">
      <c r="D268" s="256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</row>
    <row r="269" spans="3:16" x14ac:dyDescent="0.25">
      <c r="D269" s="256"/>
      <c r="E269" s="258"/>
      <c r="F269" s="258"/>
      <c r="G269" s="258"/>
      <c r="H269" s="258"/>
      <c r="I269" s="258"/>
      <c r="J269" s="258"/>
      <c r="K269" s="258"/>
      <c r="L269" s="258"/>
      <c r="M269" s="258"/>
      <c r="N269" s="258"/>
      <c r="O269" s="258"/>
      <c r="P269" s="258"/>
    </row>
    <row r="270" spans="3:16" x14ac:dyDescent="0.25">
      <c r="C270" s="252" t="s">
        <v>222</v>
      </c>
      <c r="D270" s="249" t="s">
        <v>143</v>
      </c>
      <c r="E270" s="250"/>
      <c r="F270" s="251"/>
      <c r="G270" s="255" t="s">
        <v>39</v>
      </c>
      <c r="H270" s="255"/>
      <c r="I270" s="255"/>
      <c r="J270" s="255"/>
      <c r="K270" s="255"/>
      <c r="L270" s="255"/>
      <c r="M270" s="255"/>
      <c r="N270" s="255"/>
      <c r="O270" s="255"/>
      <c r="P270" s="255"/>
    </row>
    <row r="271" spans="3:16" x14ac:dyDescent="0.25">
      <c r="C271" s="253"/>
      <c r="D271" s="239">
        <v>0</v>
      </c>
      <c r="E271" s="239"/>
      <c r="F271" s="239"/>
      <c r="G271" s="24">
        <v>1</v>
      </c>
      <c r="H271" s="25">
        <v>2</v>
      </c>
      <c r="I271" s="25">
        <v>3</v>
      </c>
      <c r="J271" s="25">
        <v>4</v>
      </c>
      <c r="K271" s="25">
        <v>5</v>
      </c>
      <c r="L271" s="25">
        <v>6</v>
      </c>
      <c r="M271" s="25">
        <v>7</v>
      </c>
      <c r="N271" s="25">
        <v>8</v>
      </c>
      <c r="O271" s="25">
        <v>9</v>
      </c>
      <c r="P271" s="24">
        <v>10</v>
      </c>
    </row>
    <row r="272" spans="3:16" x14ac:dyDescent="0.25">
      <c r="C272" s="254"/>
      <c r="D272" s="95">
        <v>2024</v>
      </c>
      <c r="E272" s="95">
        <v>2025</v>
      </c>
      <c r="F272" s="95">
        <v>2026</v>
      </c>
      <c r="G272" s="95">
        <v>2027</v>
      </c>
      <c r="H272" s="95">
        <v>2028</v>
      </c>
      <c r="I272" s="95">
        <v>2029</v>
      </c>
      <c r="J272" s="95">
        <v>2030</v>
      </c>
      <c r="K272" s="95">
        <v>2031</v>
      </c>
      <c r="L272" s="95">
        <v>2032</v>
      </c>
      <c r="M272" s="95">
        <v>2033</v>
      </c>
      <c r="N272" s="95">
        <v>2034</v>
      </c>
      <c r="O272" s="95">
        <v>2035</v>
      </c>
      <c r="P272" s="95">
        <v>2036</v>
      </c>
    </row>
    <row r="273" spans="3:16" x14ac:dyDescent="0.25">
      <c r="C273" s="28" t="s">
        <v>405</v>
      </c>
      <c r="D273" s="98">
        <f>+D274</f>
        <v>170.35199999999998</v>
      </c>
      <c r="E273" s="98">
        <f t="shared" ref="E273:P273" si="94">+E274</f>
        <v>170</v>
      </c>
      <c r="F273" s="98">
        <f t="shared" si="94"/>
        <v>170</v>
      </c>
      <c r="G273" s="106">
        <f t="shared" si="94"/>
        <v>171</v>
      </c>
      <c r="H273" s="106">
        <f t="shared" si="94"/>
        <v>171</v>
      </c>
      <c r="I273" s="106">
        <f t="shared" si="94"/>
        <v>171</v>
      </c>
      <c r="J273" s="106">
        <f t="shared" si="94"/>
        <v>171</v>
      </c>
      <c r="K273" s="106">
        <f t="shared" si="94"/>
        <v>171</v>
      </c>
      <c r="L273" s="106">
        <f t="shared" si="94"/>
        <v>171</v>
      </c>
      <c r="M273" s="106">
        <f t="shared" si="94"/>
        <v>171</v>
      </c>
      <c r="N273" s="106">
        <f t="shared" si="94"/>
        <v>171</v>
      </c>
      <c r="O273" s="106">
        <f t="shared" si="94"/>
        <v>171</v>
      </c>
      <c r="P273" s="106">
        <f t="shared" si="94"/>
        <v>171</v>
      </c>
    </row>
    <row r="274" spans="3:16" x14ac:dyDescent="0.25">
      <c r="C274" s="195" t="s">
        <v>392</v>
      </c>
      <c r="D274" s="94">
        <f>+'POBLACION DEMANDANTE EFECTIVA'!D160*E267</f>
        <v>170.35199999999998</v>
      </c>
      <c r="E274" s="94">
        <f>ROUND(($D$274*(1+$A$9)^(E272-$D$272)),0)</f>
        <v>170</v>
      </c>
      <c r="F274" s="94">
        <f>ROUND(($D$274*(1+$A$9)^(F272-$D$272)),0)</f>
        <v>170</v>
      </c>
      <c r="G274" s="94">
        <f>ROUND(($D$274*(1+$A$9)^(G272-$D$272)),0)</f>
        <v>171</v>
      </c>
      <c r="H274" s="94">
        <f>ROUND(($D$274*(1+$A$9)^(H272-$D$272)),0)</f>
        <v>171</v>
      </c>
      <c r="I274" s="94">
        <f>ROUND(($D$274*(1+$A$9)^(I272-$D$272)),0)</f>
        <v>171</v>
      </c>
      <c r="J274" s="94">
        <f t="shared" ref="J274:P274" si="95">ROUND(($D$274*(1+$A$9)^(J272-$D$272)),0)</f>
        <v>171</v>
      </c>
      <c r="K274" s="94">
        <f t="shared" si="95"/>
        <v>171</v>
      </c>
      <c r="L274" s="94">
        <f t="shared" si="95"/>
        <v>171</v>
      </c>
      <c r="M274" s="94">
        <f t="shared" si="95"/>
        <v>171</v>
      </c>
      <c r="N274" s="94">
        <f t="shared" si="95"/>
        <v>171</v>
      </c>
      <c r="O274" s="94">
        <f t="shared" si="95"/>
        <v>171</v>
      </c>
      <c r="P274" s="94">
        <f t="shared" si="95"/>
        <v>171</v>
      </c>
    </row>
    <row r="275" spans="3:16" ht="15" customHeight="1" x14ac:dyDescent="0.25"/>
    <row r="276" spans="3:16" x14ac:dyDescent="0.25">
      <c r="C276" s="267" t="s">
        <v>433</v>
      </c>
      <c r="D276" s="267"/>
      <c r="E276" s="267"/>
      <c r="F276" s="267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</row>
    <row r="277" spans="3:16" ht="39.75" customHeight="1" x14ac:dyDescent="0.25">
      <c r="C277" s="20" t="s">
        <v>30</v>
      </c>
      <c r="D277" s="20" t="s">
        <v>31</v>
      </c>
      <c r="E277" s="239" t="s">
        <v>452</v>
      </c>
      <c r="F277" s="239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</row>
    <row r="278" spans="3:16" x14ac:dyDescent="0.25">
      <c r="C278" s="28" t="s">
        <v>440</v>
      </c>
      <c r="D278" s="205" t="str">
        <f>+C284</f>
        <v xml:space="preserve">0 a 85 años a mas </v>
      </c>
      <c r="E278" s="274">
        <v>5</v>
      </c>
      <c r="F278" s="274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</row>
    <row r="279" spans="3:16" x14ac:dyDescent="0.25">
      <c r="D279" s="256"/>
      <c r="E279" s="258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</row>
    <row r="280" spans="3:16" x14ac:dyDescent="0.25">
      <c r="C280" s="252" t="s">
        <v>222</v>
      </c>
      <c r="D280" s="249" t="s">
        <v>143</v>
      </c>
      <c r="E280" s="250"/>
      <c r="F280" s="251"/>
      <c r="G280" s="255" t="s">
        <v>39</v>
      </c>
      <c r="H280" s="255"/>
      <c r="I280" s="255"/>
      <c r="J280" s="255"/>
      <c r="K280" s="255"/>
      <c r="L280" s="255"/>
      <c r="M280" s="255"/>
      <c r="N280" s="255"/>
      <c r="O280" s="255"/>
      <c r="P280" s="255"/>
    </row>
    <row r="281" spans="3:16" x14ac:dyDescent="0.25">
      <c r="C281" s="253"/>
      <c r="D281" s="239">
        <v>0</v>
      </c>
      <c r="E281" s="239"/>
      <c r="F281" s="239"/>
      <c r="G281" s="24">
        <v>1</v>
      </c>
      <c r="H281" s="25">
        <v>2</v>
      </c>
      <c r="I281" s="25">
        <v>3</v>
      </c>
      <c r="J281" s="25">
        <v>4</v>
      </c>
      <c r="K281" s="25">
        <v>5</v>
      </c>
      <c r="L281" s="25">
        <v>6</v>
      </c>
      <c r="M281" s="25">
        <v>7</v>
      </c>
      <c r="N281" s="25">
        <v>8</v>
      </c>
      <c r="O281" s="25">
        <v>9</v>
      </c>
      <c r="P281" s="24">
        <v>10</v>
      </c>
    </row>
    <row r="282" spans="3:16" x14ac:dyDescent="0.25">
      <c r="C282" s="254"/>
      <c r="D282" s="95">
        <v>2024</v>
      </c>
      <c r="E282" s="95">
        <v>2025</v>
      </c>
      <c r="F282" s="95">
        <v>2026</v>
      </c>
      <c r="G282" s="95">
        <v>2027</v>
      </c>
      <c r="H282" s="95">
        <v>2028</v>
      </c>
      <c r="I282" s="95">
        <v>2029</v>
      </c>
      <c r="J282" s="95">
        <v>2030</v>
      </c>
      <c r="K282" s="95">
        <v>2031</v>
      </c>
      <c r="L282" s="95">
        <v>2032</v>
      </c>
      <c r="M282" s="95">
        <v>2033</v>
      </c>
      <c r="N282" s="95">
        <v>2034</v>
      </c>
      <c r="O282" s="95">
        <v>2035</v>
      </c>
      <c r="P282" s="95">
        <v>2036</v>
      </c>
    </row>
    <row r="283" spans="3:16" x14ac:dyDescent="0.25">
      <c r="C283" s="28" t="s">
        <v>404</v>
      </c>
      <c r="D283" s="98">
        <f>+D284</f>
        <v>851.75999999999988</v>
      </c>
      <c r="E283" s="98">
        <f t="shared" ref="E283:P283" si="96">+E284</f>
        <v>852</v>
      </c>
      <c r="F283" s="98">
        <f t="shared" si="96"/>
        <v>852</v>
      </c>
      <c r="G283" s="106">
        <f t="shared" si="96"/>
        <v>853</v>
      </c>
      <c r="H283" s="106">
        <f t="shared" si="96"/>
        <v>853</v>
      </c>
      <c r="I283" s="106">
        <f t="shared" si="96"/>
        <v>853</v>
      </c>
      <c r="J283" s="106">
        <f t="shared" si="96"/>
        <v>853</v>
      </c>
      <c r="K283" s="106">
        <f t="shared" si="96"/>
        <v>854</v>
      </c>
      <c r="L283" s="106">
        <f t="shared" si="96"/>
        <v>854</v>
      </c>
      <c r="M283" s="106">
        <f t="shared" si="96"/>
        <v>854</v>
      </c>
      <c r="N283" s="106">
        <f t="shared" si="96"/>
        <v>854</v>
      </c>
      <c r="O283" s="106">
        <f t="shared" si="96"/>
        <v>855</v>
      </c>
      <c r="P283" s="106">
        <f t="shared" si="96"/>
        <v>855</v>
      </c>
    </row>
    <row r="284" spans="3:16" x14ac:dyDescent="0.25">
      <c r="C284" s="195" t="s">
        <v>392</v>
      </c>
      <c r="D284" s="94">
        <f>+'POBLACION DEMANDANTE EFECTIVA'!D166*E278</f>
        <v>851.75999999999988</v>
      </c>
      <c r="E284" s="94">
        <f t="shared" ref="E284:N284" si="97">ROUND(($D$284*(1+$A$9)^(E282-$D$282)),0)</f>
        <v>852</v>
      </c>
      <c r="F284" s="94">
        <f t="shared" si="97"/>
        <v>852</v>
      </c>
      <c r="G284" s="94">
        <f t="shared" si="97"/>
        <v>853</v>
      </c>
      <c r="H284" s="94">
        <f t="shared" si="97"/>
        <v>853</v>
      </c>
      <c r="I284" s="94">
        <f t="shared" si="97"/>
        <v>853</v>
      </c>
      <c r="J284" s="94">
        <f t="shared" si="97"/>
        <v>853</v>
      </c>
      <c r="K284" s="94">
        <f t="shared" si="97"/>
        <v>854</v>
      </c>
      <c r="L284" s="94">
        <f t="shared" si="97"/>
        <v>854</v>
      </c>
      <c r="M284" s="94">
        <f t="shared" si="97"/>
        <v>854</v>
      </c>
      <c r="N284" s="94">
        <f t="shared" si="97"/>
        <v>854</v>
      </c>
      <c r="O284" s="94">
        <f t="shared" ref="O284:P284" si="98">ROUND(($D$284*(1+$A$9)^(O282-$D$282)),0)</f>
        <v>855</v>
      </c>
      <c r="P284" s="94">
        <f t="shared" si="98"/>
        <v>855</v>
      </c>
    </row>
    <row r="286" spans="3:16" x14ac:dyDescent="0.25">
      <c r="C286" s="267" t="s">
        <v>433</v>
      </c>
      <c r="D286" s="267"/>
      <c r="E286" s="267"/>
      <c r="F286" s="267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</row>
    <row r="287" spans="3:16" ht="39.75" customHeight="1" x14ac:dyDescent="0.25">
      <c r="C287" s="20" t="s">
        <v>30</v>
      </c>
      <c r="D287" s="20" t="s">
        <v>31</v>
      </c>
      <c r="E287" s="239" t="s">
        <v>453</v>
      </c>
      <c r="F287" s="239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</row>
    <row r="288" spans="3:16" x14ac:dyDescent="0.25">
      <c r="C288" s="28" t="s">
        <v>442</v>
      </c>
      <c r="D288" s="205" t="str">
        <f>+C294</f>
        <v xml:space="preserve">0 a 85 años a mas </v>
      </c>
      <c r="E288" s="274">
        <v>2</v>
      </c>
      <c r="F288" s="274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</row>
    <row r="289" spans="3:16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3:16" x14ac:dyDescent="0.25">
      <c r="C290" s="252" t="s">
        <v>222</v>
      </c>
      <c r="D290" s="249" t="s">
        <v>143</v>
      </c>
      <c r="E290" s="250"/>
      <c r="F290" s="251"/>
      <c r="G290" s="255" t="s">
        <v>39</v>
      </c>
      <c r="H290" s="255"/>
      <c r="I290" s="255"/>
      <c r="J290" s="255"/>
      <c r="K290" s="255"/>
      <c r="L290" s="255"/>
      <c r="M290" s="255"/>
      <c r="N290" s="255"/>
      <c r="O290" s="255"/>
      <c r="P290" s="255"/>
    </row>
    <row r="291" spans="3:16" x14ac:dyDescent="0.25">
      <c r="C291" s="253"/>
      <c r="D291" s="239">
        <v>0</v>
      </c>
      <c r="E291" s="239"/>
      <c r="F291" s="239"/>
      <c r="G291" s="24">
        <v>1</v>
      </c>
      <c r="H291" s="25">
        <v>2</v>
      </c>
      <c r="I291" s="25">
        <v>3</v>
      </c>
      <c r="J291" s="25">
        <v>4</v>
      </c>
      <c r="K291" s="25">
        <v>5</v>
      </c>
      <c r="L291" s="25">
        <v>6</v>
      </c>
      <c r="M291" s="25">
        <v>7</v>
      </c>
      <c r="N291" s="25">
        <v>8</v>
      </c>
      <c r="O291" s="25">
        <v>9</v>
      </c>
      <c r="P291" s="24">
        <v>10</v>
      </c>
    </row>
    <row r="292" spans="3:16" x14ac:dyDescent="0.25">
      <c r="C292" s="254"/>
      <c r="D292" s="95">
        <v>2024</v>
      </c>
      <c r="E292" s="95">
        <v>2025</v>
      </c>
      <c r="F292" s="95">
        <v>2026</v>
      </c>
      <c r="G292" s="95">
        <v>2027</v>
      </c>
      <c r="H292" s="95">
        <v>2028</v>
      </c>
      <c r="I292" s="95">
        <v>2029</v>
      </c>
      <c r="J292" s="95">
        <v>2030</v>
      </c>
      <c r="K292" s="95">
        <v>2031</v>
      </c>
      <c r="L292" s="95">
        <v>2032</v>
      </c>
      <c r="M292" s="95">
        <v>2033</v>
      </c>
      <c r="N292" s="95">
        <v>2034</v>
      </c>
      <c r="O292" s="95">
        <v>2035</v>
      </c>
      <c r="P292" s="95">
        <v>2036</v>
      </c>
    </row>
    <row r="293" spans="3:16" x14ac:dyDescent="0.25">
      <c r="C293" s="28" t="s">
        <v>403</v>
      </c>
      <c r="D293" s="98">
        <f>+D294</f>
        <v>340.70399999999995</v>
      </c>
      <c r="E293" s="98">
        <f t="shared" ref="E293:P293" si="99">+E294</f>
        <v>341</v>
      </c>
      <c r="F293" s="98">
        <f t="shared" si="99"/>
        <v>341</v>
      </c>
      <c r="G293" s="106">
        <f t="shared" si="99"/>
        <v>341</v>
      </c>
      <c r="H293" s="106">
        <f t="shared" si="99"/>
        <v>341</v>
      </c>
      <c r="I293" s="106">
        <f t="shared" si="99"/>
        <v>341</v>
      </c>
      <c r="J293" s="106">
        <f t="shared" si="99"/>
        <v>341</v>
      </c>
      <c r="K293" s="106">
        <f t="shared" si="99"/>
        <v>341</v>
      </c>
      <c r="L293" s="106">
        <f t="shared" si="99"/>
        <v>342</v>
      </c>
      <c r="M293" s="106">
        <f t="shared" si="99"/>
        <v>342</v>
      </c>
      <c r="N293" s="106">
        <f t="shared" si="99"/>
        <v>342</v>
      </c>
      <c r="O293" s="106">
        <f t="shared" si="99"/>
        <v>342</v>
      </c>
      <c r="P293" s="106">
        <f t="shared" si="99"/>
        <v>342</v>
      </c>
    </row>
    <row r="294" spans="3:16" x14ac:dyDescent="0.25">
      <c r="C294" s="195" t="s">
        <v>392</v>
      </c>
      <c r="D294" s="94">
        <f>+'POBLACION DEMANDANTE EFECTIVA'!D172*E288</f>
        <v>340.70399999999995</v>
      </c>
      <c r="E294" s="94">
        <f>ROUND(($D$294*(1+$A$9)^(E292-$D$292)),0)</f>
        <v>341</v>
      </c>
      <c r="F294" s="94">
        <f t="shared" ref="F294:P294" si="100">ROUND(($D$294*(1+$A$9)^(F292-$D$292)),0)</f>
        <v>341</v>
      </c>
      <c r="G294" s="94">
        <f t="shared" si="100"/>
        <v>341</v>
      </c>
      <c r="H294" s="94">
        <f t="shared" si="100"/>
        <v>341</v>
      </c>
      <c r="I294" s="94">
        <f t="shared" si="100"/>
        <v>341</v>
      </c>
      <c r="J294" s="94">
        <f t="shared" si="100"/>
        <v>341</v>
      </c>
      <c r="K294" s="94">
        <f t="shared" si="100"/>
        <v>341</v>
      </c>
      <c r="L294" s="94">
        <f t="shared" si="100"/>
        <v>342</v>
      </c>
      <c r="M294" s="94">
        <f t="shared" si="100"/>
        <v>342</v>
      </c>
      <c r="N294" s="94">
        <f t="shared" si="100"/>
        <v>342</v>
      </c>
      <c r="O294" s="94">
        <f t="shared" si="100"/>
        <v>342</v>
      </c>
      <c r="P294" s="94">
        <f t="shared" si="100"/>
        <v>342</v>
      </c>
    </row>
    <row r="296" spans="3:16" x14ac:dyDescent="0.25">
      <c r="C296" s="267" t="s">
        <v>433</v>
      </c>
      <c r="D296" s="267"/>
      <c r="E296" s="267"/>
      <c r="F296" s="267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</row>
    <row r="297" spans="3:16" ht="39.75" customHeight="1" x14ac:dyDescent="0.25">
      <c r="C297" s="20" t="s">
        <v>30</v>
      </c>
      <c r="D297" s="20" t="s">
        <v>31</v>
      </c>
      <c r="E297" s="239" t="s">
        <v>453</v>
      </c>
      <c r="F297" s="239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</row>
    <row r="298" spans="3:16" x14ac:dyDescent="0.25">
      <c r="C298" s="28" t="str">
        <f>+C303</f>
        <v>RADIOGRAFIA</v>
      </c>
      <c r="D298" s="205" t="str">
        <f>+C304</f>
        <v xml:space="preserve">0 a 85 años a mas </v>
      </c>
      <c r="E298" s="274">
        <v>2</v>
      </c>
      <c r="F298" s="274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</row>
    <row r="300" spans="3:16" x14ac:dyDescent="0.25">
      <c r="C300" s="252" t="s">
        <v>222</v>
      </c>
      <c r="D300" s="249" t="s">
        <v>143</v>
      </c>
      <c r="E300" s="250"/>
      <c r="F300" s="251"/>
      <c r="G300" s="255" t="s">
        <v>39</v>
      </c>
      <c r="H300" s="255"/>
      <c r="I300" s="255"/>
      <c r="J300" s="255"/>
      <c r="K300" s="255"/>
      <c r="L300" s="255"/>
      <c r="M300" s="255"/>
      <c r="N300" s="255"/>
      <c r="O300" s="255"/>
      <c r="P300" s="255"/>
    </row>
    <row r="301" spans="3:16" x14ac:dyDescent="0.25">
      <c r="C301" s="253"/>
      <c r="D301" s="239">
        <v>0</v>
      </c>
      <c r="E301" s="239"/>
      <c r="F301" s="239"/>
      <c r="G301" s="24">
        <v>1</v>
      </c>
      <c r="H301" s="25">
        <v>2</v>
      </c>
      <c r="I301" s="25">
        <v>3</v>
      </c>
      <c r="J301" s="25">
        <v>4</v>
      </c>
      <c r="K301" s="25">
        <v>5</v>
      </c>
      <c r="L301" s="25">
        <v>6</v>
      </c>
      <c r="M301" s="25">
        <v>7</v>
      </c>
      <c r="N301" s="25">
        <v>8</v>
      </c>
      <c r="O301" s="25">
        <v>9</v>
      </c>
      <c r="P301" s="24">
        <v>10</v>
      </c>
    </row>
    <row r="302" spans="3:16" x14ac:dyDescent="0.25">
      <c r="C302" s="254"/>
      <c r="D302" s="95">
        <v>2024</v>
      </c>
      <c r="E302" s="95">
        <v>2025</v>
      </c>
      <c r="F302" s="95">
        <v>2026</v>
      </c>
      <c r="G302" s="95">
        <v>2027</v>
      </c>
      <c r="H302" s="95">
        <v>2028</v>
      </c>
      <c r="I302" s="95">
        <v>2029</v>
      </c>
      <c r="J302" s="95">
        <v>2030</v>
      </c>
      <c r="K302" s="95">
        <v>2031</v>
      </c>
      <c r="L302" s="95">
        <v>2032</v>
      </c>
      <c r="M302" s="95">
        <v>2033</v>
      </c>
      <c r="N302" s="95">
        <v>2034</v>
      </c>
      <c r="O302" s="95">
        <v>2035</v>
      </c>
      <c r="P302" s="95">
        <v>2036</v>
      </c>
    </row>
    <row r="303" spans="3:16" x14ac:dyDescent="0.25">
      <c r="C303" s="28" t="s">
        <v>402</v>
      </c>
      <c r="D303" s="98">
        <f>+D304</f>
        <v>340.70399999999995</v>
      </c>
      <c r="E303" s="98">
        <f t="shared" ref="E303:P303" si="101">+E304</f>
        <v>341</v>
      </c>
      <c r="F303" s="98">
        <f t="shared" si="101"/>
        <v>341</v>
      </c>
      <c r="G303" s="106">
        <f t="shared" si="101"/>
        <v>341</v>
      </c>
      <c r="H303" s="106">
        <f t="shared" si="101"/>
        <v>341</v>
      </c>
      <c r="I303" s="106">
        <f t="shared" si="101"/>
        <v>341</v>
      </c>
      <c r="J303" s="106">
        <f t="shared" si="101"/>
        <v>341</v>
      </c>
      <c r="K303" s="106">
        <f t="shared" si="101"/>
        <v>341</v>
      </c>
      <c r="L303" s="106">
        <f t="shared" si="101"/>
        <v>342</v>
      </c>
      <c r="M303" s="106">
        <f t="shared" si="101"/>
        <v>342</v>
      </c>
      <c r="N303" s="106">
        <f t="shared" si="101"/>
        <v>342</v>
      </c>
      <c r="O303" s="106">
        <f t="shared" si="101"/>
        <v>342</v>
      </c>
      <c r="P303" s="106">
        <f t="shared" si="101"/>
        <v>342</v>
      </c>
    </row>
    <row r="304" spans="3:16" x14ac:dyDescent="0.25">
      <c r="C304" s="195" t="s">
        <v>392</v>
      </c>
      <c r="D304" s="94">
        <f>+'POBLACION DEMANDANTE EFECTIVA'!D178*E298</f>
        <v>340.70399999999995</v>
      </c>
      <c r="E304" s="94">
        <f t="shared" ref="E304:P304" si="102">ROUND(($D$304*(1+$A$9)^(E302-$D$302)),0)</f>
        <v>341</v>
      </c>
      <c r="F304" s="94">
        <f t="shared" si="102"/>
        <v>341</v>
      </c>
      <c r="G304" s="94">
        <f t="shared" si="102"/>
        <v>341</v>
      </c>
      <c r="H304" s="94">
        <f t="shared" si="102"/>
        <v>341</v>
      </c>
      <c r="I304" s="94">
        <f t="shared" si="102"/>
        <v>341</v>
      </c>
      <c r="J304" s="94">
        <f t="shared" si="102"/>
        <v>341</v>
      </c>
      <c r="K304" s="94">
        <f t="shared" si="102"/>
        <v>341</v>
      </c>
      <c r="L304" s="94">
        <f t="shared" si="102"/>
        <v>342</v>
      </c>
      <c r="M304" s="94">
        <f t="shared" si="102"/>
        <v>342</v>
      </c>
      <c r="N304" s="94">
        <f t="shared" si="102"/>
        <v>342</v>
      </c>
      <c r="O304" s="94">
        <f t="shared" si="102"/>
        <v>342</v>
      </c>
      <c r="P304" s="94">
        <f t="shared" si="102"/>
        <v>342</v>
      </c>
    </row>
    <row r="306" spans="1:16" x14ac:dyDescent="0.25"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30"/>
      <c r="O306" s="130"/>
      <c r="P306" s="130"/>
    </row>
    <row r="307" spans="1:16" x14ac:dyDescent="0.25"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30"/>
      <c r="O307" s="130"/>
      <c r="P307" s="130"/>
    </row>
    <row r="308" spans="1:16" x14ac:dyDescent="0.25"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30"/>
      <c r="O308" s="130"/>
      <c r="P308" s="130"/>
    </row>
    <row r="309" spans="1:16" x14ac:dyDescent="0.25"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30"/>
      <c r="O309" s="130"/>
      <c r="P309" s="130"/>
    </row>
    <row r="310" spans="1:16" x14ac:dyDescent="0.25"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30"/>
      <c r="O310" s="130"/>
      <c r="P310" s="130"/>
    </row>
    <row r="311" spans="1:16" x14ac:dyDescent="0.25"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30"/>
      <c r="O311" s="130"/>
      <c r="P311" s="130"/>
    </row>
    <row r="316" spans="1:16" x14ac:dyDescent="0.25">
      <c r="A316" s="1"/>
    </row>
    <row r="327" ht="25.5" customHeight="1" x14ac:dyDescent="0.25"/>
    <row r="328" ht="15" customHeight="1" x14ac:dyDescent="0.25"/>
  </sheetData>
  <mergeCells count="211">
    <mergeCell ref="C249:C251"/>
    <mergeCell ref="D249:F249"/>
    <mergeCell ref="G249:P249"/>
    <mergeCell ref="D250:F250"/>
    <mergeCell ref="C255:F255"/>
    <mergeCell ref="E256:F256"/>
    <mergeCell ref="E257:F257"/>
    <mergeCell ref="C204:P204"/>
    <mergeCell ref="C205:F205"/>
    <mergeCell ref="E206:F206"/>
    <mergeCell ref="C207:C212"/>
    <mergeCell ref="E207:F207"/>
    <mergeCell ref="E208:F208"/>
    <mergeCell ref="E209:F209"/>
    <mergeCell ref="E210:F210"/>
    <mergeCell ref="E211:F211"/>
    <mergeCell ref="E212:F212"/>
    <mergeCell ref="C3:F3"/>
    <mergeCell ref="I3:L3"/>
    <mergeCell ref="E4:F4"/>
    <mergeCell ref="E5:F5"/>
    <mergeCell ref="C7:C9"/>
    <mergeCell ref="D7:F7"/>
    <mergeCell ref="G7:P7"/>
    <mergeCell ref="D8:F8"/>
    <mergeCell ref="C13:F13"/>
    <mergeCell ref="I13:L13"/>
    <mergeCell ref="E14:F14"/>
    <mergeCell ref="E15:F15"/>
    <mergeCell ref="C17:C19"/>
    <mergeCell ref="D17:F17"/>
    <mergeCell ref="G17:P17"/>
    <mergeCell ref="D18:F18"/>
    <mergeCell ref="C23:F23"/>
    <mergeCell ref="I23:L23"/>
    <mergeCell ref="E24:F24"/>
    <mergeCell ref="C25:C31"/>
    <mergeCell ref="E25:F25"/>
    <mergeCell ref="E26:F26"/>
    <mergeCell ref="E27:F27"/>
    <mergeCell ref="E28:F28"/>
    <mergeCell ref="J28:K28"/>
    <mergeCell ref="E29:F29"/>
    <mergeCell ref="E30:F30"/>
    <mergeCell ref="E31:F31"/>
    <mergeCell ref="C33:C35"/>
    <mergeCell ref="D33:F33"/>
    <mergeCell ref="G33:P33"/>
    <mergeCell ref="D34:F34"/>
    <mergeCell ref="C45:F45"/>
    <mergeCell ref="E46:F46"/>
    <mergeCell ref="C47:C51"/>
    <mergeCell ref="E47:F47"/>
    <mergeCell ref="E48:F48"/>
    <mergeCell ref="E49:F49"/>
    <mergeCell ref="E50:F50"/>
    <mergeCell ref="E51:F51"/>
    <mergeCell ref="C53:C55"/>
    <mergeCell ref="D53:F53"/>
    <mergeCell ref="G53:P53"/>
    <mergeCell ref="D54:F54"/>
    <mergeCell ref="C63:F63"/>
    <mergeCell ref="E64:F64"/>
    <mergeCell ref="C65:C70"/>
    <mergeCell ref="E65:F65"/>
    <mergeCell ref="E66:F66"/>
    <mergeCell ref="E67:F67"/>
    <mergeCell ref="E68:F68"/>
    <mergeCell ref="E69:F69"/>
    <mergeCell ref="E70:F70"/>
    <mergeCell ref="C72:C74"/>
    <mergeCell ref="D72:F72"/>
    <mergeCell ref="G72:P72"/>
    <mergeCell ref="D73:F73"/>
    <mergeCell ref="C83:F83"/>
    <mergeCell ref="E84:F84"/>
    <mergeCell ref="C85:C90"/>
    <mergeCell ref="E85:F85"/>
    <mergeCell ref="E86:F86"/>
    <mergeCell ref="E87:F87"/>
    <mergeCell ref="E88:F88"/>
    <mergeCell ref="E89:F89"/>
    <mergeCell ref="E90:F90"/>
    <mergeCell ref="C92:C94"/>
    <mergeCell ref="D92:F92"/>
    <mergeCell ref="G92:P92"/>
    <mergeCell ref="D93:F93"/>
    <mergeCell ref="C103:F103"/>
    <mergeCell ref="E104:F104"/>
    <mergeCell ref="C105:C110"/>
    <mergeCell ref="E105:F105"/>
    <mergeCell ref="E106:F106"/>
    <mergeCell ref="E107:F107"/>
    <mergeCell ref="E108:F108"/>
    <mergeCell ref="E109:F109"/>
    <mergeCell ref="E110:F110"/>
    <mergeCell ref="C112:C114"/>
    <mergeCell ref="D112:F112"/>
    <mergeCell ref="G112:P112"/>
    <mergeCell ref="D113:F113"/>
    <mergeCell ref="C123:F123"/>
    <mergeCell ref="E124:F124"/>
    <mergeCell ref="C125:C130"/>
    <mergeCell ref="E125:F125"/>
    <mergeCell ref="E126:F126"/>
    <mergeCell ref="E127:F127"/>
    <mergeCell ref="E128:F128"/>
    <mergeCell ref="E129:F129"/>
    <mergeCell ref="E130:F130"/>
    <mergeCell ref="C132:C134"/>
    <mergeCell ref="D132:F132"/>
    <mergeCell ref="G132:P132"/>
    <mergeCell ref="D133:F133"/>
    <mergeCell ref="C143:F143"/>
    <mergeCell ref="E144:F144"/>
    <mergeCell ref="C145:C150"/>
    <mergeCell ref="E145:F145"/>
    <mergeCell ref="E146:F146"/>
    <mergeCell ref="E147:F147"/>
    <mergeCell ref="E148:F148"/>
    <mergeCell ref="E149:F149"/>
    <mergeCell ref="E150:F150"/>
    <mergeCell ref="C152:C154"/>
    <mergeCell ref="D152:F152"/>
    <mergeCell ref="G152:P152"/>
    <mergeCell ref="D153:F153"/>
    <mergeCell ref="C163:F163"/>
    <mergeCell ref="E164:F164"/>
    <mergeCell ref="C165:C170"/>
    <mergeCell ref="E165:F165"/>
    <mergeCell ref="E166:F166"/>
    <mergeCell ref="E167:F167"/>
    <mergeCell ref="E168:F168"/>
    <mergeCell ref="E169:F169"/>
    <mergeCell ref="E170:F170"/>
    <mergeCell ref="C172:C174"/>
    <mergeCell ref="D172:F172"/>
    <mergeCell ref="G172:P172"/>
    <mergeCell ref="D173:F173"/>
    <mergeCell ref="C183:F183"/>
    <mergeCell ref="E184:F184"/>
    <mergeCell ref="E185:F185"/>
    <mergeCell ref="C187:C189"/>
    <mergeCell ref="D187:F187"/>
    <mergeCell ref="G187:P187"/>
    <mergeCell ref="D188:F188"/>
    <mergeCell ref="C193:F193"/>
    <mergeCell ref="E194:F194"/>
    <mergeCell ref="C195:C196"/>
    <mergeCell ref="E195:F195"/>
    <mergeCell ref="E196:F196"/>
    <mergeCell ref="C198:C200"/>
    <mergeCell ref="D198:F198"/>
    <mergeCell ref="G198:P198"/>
    <mergeCell ref="D199:F199"/>
    <mergeCell ref="D215:F215"/>
    <mergeCell ref="C225:F225"/>
    <mergeCell ref="E226:F226"/>
    <mergeCell ref="E227:F227"/>
    <mergeCell ref="C229:C231"/>
    <mergeCell ref="D229:F229"/>
    <mergeCell ref="G229:P229"/>
    <mergeCell ref="D230:F230"/>
    <mergeCell ref="C235:F235"/>
    <mergeCell ref="C214:C216"/>
    <mergeCell ref="D214:F214"/>
    <mergeCell ref="G214:P214"/>
    <mergeCell ref="E236:F236"/>
    <mergeCell ref="E237:F237"/>
    <mergeCell ref="C239:C241"/>
    <mergeCell ref="D239:F239"/>
    <mergeCell ref="G239:P239"/>
    <mergeCell ref="D240:F240"/>
    <mergeCell ref="C245:F245"/>
    <mergeCell ref="E246:F246"/>
    <mergeCell ref="E247:F247"/>
    <mergeCell ref="C259:C261"/>
    <mergeCell ref="D259:F259"/>
    <mergeCell ref="G259:P259"/>
    <mergeCell ref="D260:F260"/>
    <mergeCell ref="C265:F265"/>
    <mergeCell ref="E266:F266"/>
    <mergeCell ref="E267:F267"/>
    <mergeCell ref="D268:P268"/>
    <mergeCell ref="D269:P269"/>
    <mergeCell ref="C270:C272"/>
    <mergeCell ref="D270:F270"/>
    <mergeCell ref="G270:P270"/>
    <mergeCell ref="D271:F271"/>
    <mergeCell ref="C276:F276"/>
    <mergeCell ref="E277:F277"/>
    <mergeCell ref="E278:F278"/>
    <mergeCell ref="D279:P279"/>
    <mergeCell ref="C280:C282"/>
    <mergeCell ref="D280:F280"/>
    <mergeCell ref="G280:P280"/>
    <mergeCell ref="D281:F281"/>
    <mergeCell ref="C286:F286"/>
    <mergeCell ref="E287:F287"/>
    <mergeCell ref="E288:F288"/>
    <mergeCell ref="C290:C292"/>
    <mergeCell ref="D290:F290"/>
    <mergeCell ref="G290:P290"/>
    <mergeCell ref="D291:F291"/>
    <mergeCell ref="C296:F296"/>
    <mergeCell ref="E297:F297"/>
    <mergeCell ref="E298:F298"/>
    <mergeCell ref="C300:C302"/>
    <mergeCell ref="D300:F300"/>
    <mergeCell ref="G300:P300"/>
    <mergeCell ref="D301:F30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39"/>
  <sheetViews>
    <sheetView topLeftCell="A17" workbookViewId="0">
      <selection activeCell="B14" sqref="B14:L39"/>
    </sheetView>
  </sheetViews>
  <sheetFormatPr baseColWidth="10" defaultRowHeight="15" x14ac:dyDescent="0.25"/>
  <cols>
    <col min="2" max="2" width="28.5703125" customWidth="1"/>
    <col min="3" max="3" width="36" customWidth="1"/>
    <col min="4" max="4" width="10" customWidth="1"/>
    <col min="5" max="5" width="23.28515625" customWidth="1"/>
    <col min="6" max="6" width="22.140625" customWidth="1"/>
    <col min="8" max="8" width="23.85546875" customWidth="1"/>
    <col min="9" max="9" width="22.140625" customWidth="1"/>
    <col min="11" max="11" width="9.7109375" customWidth="1"/>
    <col min="12" max="12" width="10.28515625" customWidth="1"/>
  </cols>
  <sheetData>
    <row r="1" spans="2:12" ht="34.5" customHeight="1" x14ac:dyDescent="0.25">
      <c r="B1" s="249" t="s">
        <v>42</v>
      </c>
      <c r="C1" s="251"/>
      <c r="D1" s="8"/>
      <c r="E1" s="249" t="s">
        <v>45</v>
      </c>
      <c r="F1" s="251"/>
      <c r="G1" s="8"/>
      <c r="H1" s="239" t="s">
        <v>46</v>
      </c>
      <c r="I1" s="239"/>
      <c r="K1" s="246"/>
      <c r="L1" s="246"/>
    </row>
    <row r="2" spans="2:12" ht="33" customHeight="1" x14ac:dyDescent="0.25">
      <c r="B2" s="38" t="s">
        <v>43</v>
      </c>
      <c r="C2" s="35">
        <v>1</v>
      </c>
      <c r="D2" s="8"/>
      <c r="E2" s="38" t="s">
        <v>43</v>
      </c>
      <c r="F2" s="35">
        <v>1</v>
      </c>
      <c r="G2" s="8"/>
      <c r="H2" s="38" t="s">
        <v>43</v>
      </c>
      <c r="I2" s="35">
        <v>1</v>
      </c>
      <c r="K2" s="34"/>
      <c r="L2" s="34"/>
    </row>
    <row r="3" spans="2:12" ht="51" customHeight="1" x14ac:dyDescent="0.25">
      <c r="B3" s="39" t="s">
        <v>52</v>
      </c>
      <c r="C3" s="37" t="s">
        <v>53</v>
      </c>
      <c r="D3" s="8"/>
      <c r="E3" s="39" t="s">
        <v>51</v>
      </c>
      <c r="F3" s="37" t="s">
        <v>55</v>
      </c>
      <c r="G3" s="8"/>
      <c r="H3" s="39" t="s">
        <v>50</v>
      </c>
      <c r="I3" s="36" t="s">
        <v>47</v>
      </c>
      <c r="K3" s="34"/>
      <c r="L3" s="34"/>
    </row>
    <row r="4" spans="2:12" ht="39.75" customHeight="1" x14ac:dyDescent="0.25">
      <c r="B4" s="38" t="s">
        <v>49</v>
      </c>
      <c r="C4" s="23">
        <f>(150*11)*0.3</f>
        <v>495</v>
      </c>
      <c r="D4" s="8"/>
      <c r="E4" s="38" t="s">
        <v>49</v>
      </c>
      <c r="F4" s="23">
        <f>(150*12)*0.3</f>
        <v>540</v>
      </c>
      <c r="G4" s="8"/>
      <c r="H4" s="38" t="s">
        <v>49</v>
      </c>
      <c r="I4" s="23">
        <f>(150*12)*0.7</f>
        <v>1260</v>
      </c>
      <c r="K4" s="34"/>
      <c r="L4" s="34"/>
    </row>
    <row r="5" spans="2:12" ht="67.5" customHeight="1" x14ac:dyDescent="0.25">
      <c r="B5" s="39" t="s">
        <v>54</v>
      </c>
      <c r="C5" s="37">
        <f>C4*1.2</f>
        <v>594</v>
      </c>
      <c r="D5" s="8"/>
      <c r="E5" s="39" t="s">
        <v>54</v>
      </c>
      <c r="F5" s="37">
        <f>F4*1.3</f>
        <v>702</v>
      </c>
      <c r="G5" s="8"/>
      <c r="H5" s="39" t="s">
        <v>48</v>
      </c>
      <c r="I5" s="37">
        <f>I4*0.8</f>
        <v>1008</v>
      </c>
      <c r="K5" s="34"/>
      <c r="L5" s="34"/>
    </row>
    <row r="6" spans="2:12" ht="30.75" customHeight="1" x14ac:dyDescent="0.25">
      <c r="B6" s="38" t="s">
        <v>44</v>
      </c>
      <c r="C6" s="23">
        <v>1</v>
      </c>
      <c r="D6" s="8"/>
      <c r="E6" s="38" t="s">
        <v>44</v>
      </c>
      <c r="F6" s="23">
        <v>2</v>
      </c>
      <c r="G6" s="8"/>
      <c r="H6" s="38" t="s">
        <v>44</v>
      </c>
      <c r="I6" s="23">
        <v>4</v>
      </c>
      <c r="K6" s="34"/>
      <c r="L6" s="34"/>
    </row>
    <row r="8" spans="2:12" ht="33.75" customHeight="1" x14ac:dyDescent="0.25">
      <c r="B8" s="239" t="s">
        <v>56</v>
      </c>
      <c r="C8" s="239"/>
      <c r="E8" s="239" t="s">
        <v>56</v>
      </c>
      <c r="F8" s="239"/>
      <c r="H8" s="239" t="s">
        <v>56</v>
      </c>
      <c r="I8" s="239"/>
    </row>
    <row r="9" spans="2:12" x14ac:dyDescent="0.25">
      <c r="B9" s="32" t="s">
        <v>57</v>
      </c>
      <c r="C9" s="32">
        <f>C2*C5*C6</f>
        <v>594</v>
      </c>
      <c r="E9" s="32" t="s">
        <v>57</v>
      </c>
      <c r="F9" s="32">
        <f>F2*F5*F6</f>
        <v>1404</v>
      </c>
      <c r="H9" s="32" t="s">
        <v>57</v>
      </c>
      <c r="I9" s="32">
        <f>I2*I5*I6</f>
        <v>4032</v>
      </c>
    </row>
    <row r="11" spans="2:12" ht="21" customHeight="1" x14ac:dyDescent="0.25">
      <c r="B11" s="259" t="s">
        <v>58</v>
      </c>
      <c r="C11" s="261"/>
      <c r="E11" s="259" t="s">
        <v>58</v>
      </c>
      <c r="F11" s="261"/>
      <c r="H11" s="259" t="s">
        <v>58</v>
      </c>
      <c r="I11" s="261"/>
    </row>
    <row r="12" spans="2:12" x14ac:dyDescent="0.25">
      <c r="B12" s="32" t="s">
        <v>59</v>
      </c>
      <c r="C12" s="32">
        <v>0</v>
      </c>
      <c r="E12" s="32" t="s">
        <v>59</v>
      </c>
      <c r="F12" s="32">
        <v>0</v>
      </c>
      <c r="H12" s="32" t="s">
        <v>59</v>
      </c>
      <c r="I12" s="32">
        <v>0</v>
      </c>
    </row>
    <row r="14" spans="2:12" x14ac:dyDescent="0.25">
      <c r="B14" s="213" t="s">
        <v>244</v>
      </c>
      <c r="C14" s="213"/>
      <c r="D14" s="213"/>
      <c r="E14" s="213"/>
      <c r="F14" s="213"/>
      <c r="G14" s="213"/>
      <c r="H14" s="213"/>
      <c r="I14" s="213"/>
      <c r="J14" s="213"/>
      <c r="K14" s="213"/>
      <c r="L14" s="213"/>
    </row>
    <row r="15" spans="2:12" ht="18" customHeight="1" x14ac:dyDescent="0.25">
      <c r="B15" s="213" t="s">
        <v>60</v>
      </c>
      <c r="C15" s="213" t="s">
        <v>63</v>
      </c>
      <c r="D15" s="213"/>
      <c r="E15" s="213"/>
      <c r="F15" s="213"/>
      <c r="G15" s="213"/>
      <c r="H15" s="213"/>
      <c r="I15" s="213"/>
      <c r="J15" s="213"/>
      <c r="K15" s="213"/>
      <c r="L15" s="213"/>
    </row>
    <row r="16" spans="2:12" x14ac:dyDescent="0.25">
      <c r="B16" s="213"/>
      <c r="C16" s="104">
        <v>1</v>
      </c>
      <c r="D16" s="104">
        <v>2</v>
      </c>
      <c r="E16" s="104">
        <v>3</v>
      </c>
      <c r="F16" s="104">
        <v>4</v>
      </c>
      <c r="G16" s="104">
        <v>5</v>
      </c>
      <c r="H16" s="104">
        <v>6</v>
      </c>
      <c r="I16" s="104">
        <v>7</v>
      </c>
      <c r="J16" s="104">
        <v>8</v>
      </c>
      <c r="K16" s="104">
        <v>9</v>
      </c>
      <c r="L16" s="104">
        <v>10</v>
      </c>
    </row>
    <row r="17" spans="2:12" ht="24.75" customHeight="1" x14ac:dyDescent="0.25">
      <c r="B17" s="102" t="str">
        <f>+'CART.SERVICIOS'!C4</f>
        <v xml:space="preserve">Consultorio de medicina general </v>
      </c>
      <c r="C17" s="102">
        <v>0</v>
      </c>
      <c r="D17" s="102">
        <v>0</v>
      </c>
      <c r="E17" s="102">
        <v>0</v>
      </c>
      <c r="F17" s="102">
        <v>0</v>
      </c>
      <c r="G17" s="102">
        <v>0</v>
      </c>
      <c r="H17" s="102">
        <v>0</v>
      </c>
      <c r="I17" s="102">
        <v>0</v>
      </c>
      <c r="J17" s="102">
        <v>0</v>
      </c>
      <c r="K17" s="102">
        <v>0</v>
      </c>
      <c r="L17" s="102">
        <v>0</v>
      </c>
    </row>
    <row r="18" spans="2:12" x14ac:dyDescent="0.25">
      <c r="B18" s="102" t="str">
        <f>+'CART.SERVICIOS'!C5</f>
        <v>Teleconsultamedica</v>
      </c>
      <c r="C18" s="102">
        <v>0</v>
      </c>
      <c r="D18" s="102">
        <v>0</v>
      </c>
      <c r="E18" s="102">
        <v>0</v>
      </c>
      <c r="F18" s="102">
        <v>0</v>
      </c>
      <c r="G18" s="102">
        <v>0</v>
      </c>
      <c r="H18" s="102">
        <v>0</v>
      </c>
      <c r="I18" s="102">
        <v>0</v>
      </c>
      <c r="J18" s="102">
        <v>0</v>
      </c>
      <c r="K18" s="102">
        <v>0</v>
      </c>
      <c r="L18" s="102">
        <v>0</v>
      </c>
    </row>
    <row r="19" spans="2:12" x14ac:dyDescent="0.25">
      <c r="B19" s="102" t="str">
        <f>+'CART.SERVICIOS'!C6</f>
        <v>Consultorio CRED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</row>
    <row r="20" spans="2:12" x14ac:dyDescent="0.25">
      <c r="B20" s="102" t="str">
        <f>+'CART.SERVICIOS'!C7</f>
        <v>Sala de estimulacion temprana</v>
      </c>
      <c r="C20" s="102">
        <v>0</v>
      </c>
      <c r="D20" s="102">
        <v>0</v>
      </c>
      <c r="E20" s="102">
        <v>0</v>
      </c>
      <c r="F20" s="102">
        <v>0</v>
      </c>
      <c r="G20" s="102">
        <v>0</v>
      </c>
      <c r="H20" s="102">
        <v>0</v>
      </c>
      <c r="I20" s="102">
        <v>0</v>
      </c>
      <c r="J20" s="102">
        <v>0</v>
      </c>
      <c r="K20" s="102">
        <v>0</v>
      </c>
      <c r="L20" s="102">
        <v>0</v>
      </c>
    </row>
    <row r="21" spans="2:12" x14ac:dyDescent="0.25">
      <c r="B21" s="102" t="str">
        <f>+'CART.SERVICIOS'!C8</f>
        <v>Sala de Inmunizaciones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</row>
    <row r="22" spans="2:12" x14ac:dyDescent="0.25">
      <c r="B22" s="102" t="str">
        <f>+'CART.SERVICIOS'!C9</f>
        <v>Modulo para prevencion y consejeria de TBC</v>
      </c>
      <c r="C22" s="102">
        <v>0</v>
      </c>
      <c r="D22" s="102">
        <v>0</v>
      </c>
      <c r="E22" s="102">
        <v>0</v>
      </c>
      <c r="F22" s="102">
        <v>0</v>
      </c>
      <c r="G22" s="102">
        <v>0</v>
      </c>
      <c r="H22" s="102">
        <v>0</v>
      </c>
      <c r="I22" s="102">
        <v>0</v>
      </c>
      <c r="J22" s="102">
        <v>0</v>
      </c>
      <c r="K22" s="102">
        <v>0</v>
      </c>
      <c r="L22" s="102">
        <v>0</v>
      </c>
    </row>
    <row r="23" spans="2:12" x14ac:dyDescent="0.25">
      <c r="B23" s="102" t="str">
        <f>+'CART.SERVICIOS'!C10</f>
        <v>Consejeria y prevencion de ITS, VIH y SIDA</v>
      </c>
      <c r="C23" s="102">
        <v>0</v>
      </c>
      <c r="D23" s="102">
        <v>0</v>
      </c>
      <c r="E23" s="102">
        <v>0</v>
      </c>
      <c r="F23" s="102">
        <v>0</v>
      </c>
      <c r="G23" s="102">
        <v>0</v>
      </c>
      <c r="H23" s="102">
        <v>0</v>
      </c>
      <c r="I23" s="102">
        <v>0</v>
      </c>
      <c r="J23" s="102">
        <v>0</v>
      </c>
      <c r="K23" s="102">
        <v>0</v>
      </c>
      <c r="L23" s="102">
        <v>0</v>
      </c>
    </row>
    <row r="24" spans="2:12" x14ac:dyDescent="0.25">
      <c r="B24" s="102" t="str">
        <f>+'CART.SERVICIOS'!C11</f>
        <v>Atencíon integral y consejeria del Adolescente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</row>
    <row r="25" spans="2:12" x14ac:dyDescent="0.25">
      <c r="B25" s="102" t="str">
        <f>+'CART.SERVICIOS'!C12</f>
        <v>Atencíon integral del Adulto Mayor</v>
      </c>
      <c r="C25" s="102">
        <v>0</v>
      </c>
      <c r="D25" s="102">
        <v>0</v>
      </c>
      <c r="E25" s="102">
        <v>0</v>
      </c>
      <c r="F25" s="102">
        <v>0</v>
      </c>
      <c r="G25" s="102">
        <v>0</v>
      </c>
      <c r="H25" s="102">
        <v>0</v>
      </c>
      <c r="I25" s="102">
        <v>0</v>
      </c>
      <c r="J25" s="102">
        <v>0</v>
      </c>
      <c r="K25" s="102">
        <v>0</v>
      </c>
      <c r="L25" s="102">
        <v>0</v>
      </c>
    </row>
    <row r="26" spans="2:12" x14ac:dyDescent="0.25">
      <c r="B26" s="102" t="str">
        <f>+'CART.SERVICIOS'!C13</f>
        <v>Consejería y prevención de Enf. No Transmisibles</v>
      </c>
      <c r="C26" s="102">
        <v>0</v>
      </c>
      <c r="D26" s="102">
        <v>0</v>
      </c>
      <c r="E26" s="102">
        <v>0</v>
      </c>
      <c r="F26" s="102">
        <v>0</v>
      </c>
      <c r="G26" s="102">
        <v>0</v>
      </c>
      <c r="H26" s="102">
        <v>0</v>
      </c>
      <c r="I26" s="102">
        <v>0</v>
      </c>
      <c r="J26" s="102">
        <v>0</v>
      </c>
      <c r="K26" s="102">
        <v>0</v>
      </c>
      <c r="L26" s="102">
        <v>0</v>
      </c>
    </row>
    <row r="27" spans="2:12" x14ac:dyDescent="0.25">
      <c r="B27" s="102" t="str">
        <f>+'CART.SERVICIOS'!C14</f>
        <v>Control Prenatal + 1/2 S.H.</v>
      </c>
      <c r="C27" s="102">
        <v>0</v>
      </c>
      <c r="D27" s="102">
        <v>0</v>
      </c>
      <c r="E27" s="102">
        <v>0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02">
        <v>0</v>
      </c>
      <c r="L27" s="102">
        <v>0</v>
      </c>
    </row>
    <row r="28" spans="2:12" x14ac:dyDescent="0.25">
      <c r="B28" s="102" t="str">
        <f>+'CART.SERVICIOS'!C15</f>
        <v>Planificacíon Familiar</v>
      </c>
      <c r="C28" s="102">
        <v>0</v>
      </c>
      <c r="D28" s="102">
        <v>0</v>
      </c>
      <c r="E28" s="102">
        <v>0</v>
      </c>
      <c r="F28" s="102">
        <v>0</v>
      </c>
      <c r="G28" s="102">
        <v>0</v>
      </c>
      <c r="H28" s="102">
        <v>0</v>
      </c>
      <c r="I28" s="102">
        <v>0</v>
      </c>
      <c r="J28" s="102">
        <v>0</v>
      </c>
      <c r="K28" s="102">
        <v>0</v>
      </c>
      <c r="L28" s="102">
        <v>0</v>
      </c>
    </row>
    <row r="29" spans="2:12" ht="16.5" customHeight="1" x14ac:dyDescent="0.25">
      <c r="B29" s="102" t="str">
        <f>+'CART.SERVICIOS'!C16</f>
        <v>Consejería y prevención del Cáncer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</row>
    <row r="30" spans="2:12" ht="25.5" customHeight="1" x14ac:dyDescent="0.25">
      <c r="B30" s="102" t="str">
        <f>+'CART.SERVICIOS'!C17</f>
        <v>Psicoprofilaxis</v>
      </c>
      <c r="C30" s="102">
        <v>0</v>
      </c>
      <c r="D30" s="102">
        <v>0</v>
      </c>
      <c r="E30" s="102">
        <v>0</v>
      </c>
      <c r="F30" s="102">
        <v>0</v>
      </c>
      <c r="G30" s="102">
        <v>0</v>
      </c>
      <c r="H30" s="102">
        <v>0</v>
      </c>
      <c r="I30" s="102">
        <v>0</v>
      </c>
      <c r="J30" s="102">
        <v>0</v>
      </c>
      <c r="K30" s="102">
        <v>0</v>
      </c>
      <c r="L30" s="102">
        <v>0</v>
      </c>
    </row>
    <row r="31" spans="2:12" x14ac:dyDescent="0.25">
      <c r="B31" s="102" t="str">
        <f>+'CART.SERVICIOS'!C18</f>
        <v>Consultorio de odontologia general con soporte de radiografia</v>
      </c>
      <c r="C31" s="102">
        <v>0</v>
      </c>
      <c r="D31" s="102">
        <v>0</v>
      </c>
      <c r="E31" s="102">
        <v>0</v>
      </c>
      <c r="F31" s="102">
        <v>0</v>
      </c>
      <c r="G31" s="102">
        <v>0</v>
      </c>
      <c r="H31" s="102">
        <v>0</v>
      </c>
      <c r="I31" s="102">
        <v>0</v>
      </c>
      <c r="J31" s="102">
        <v>0</v>
      </c>
      <c r="K31" s="102">
        <v>0</v>
      </c>
      <c r="L31" s="102">
        <v>0</v>
      </c>
    </row>
    <row r="32" spans="2:12" x14ac:dyDescent="0.25">
      <c r="B32" s="102" t="str">
        <f>+'CART.SERVICIOS'!C19</f>
        <v>Consultorio de psicologia</v>
      </c>
      <c r="C32" s="102">
        <v>0</v>
      </c>
      <c r="D32" s="102">
        <v>0</v>
      </c>
      <c r="E32" s="102">
        <v>0</v>
      </c>
      <c r="F32" s="102">
        <v>0</v>
      </c>
      <c r="G32" s="102">
        <v>0</v>
      </c>
      <c r="H32" s="102">
        <v>0</v>
      </c>
      <c r="I32" s="102">
        <v>0</v>
      </c>
      <c r="J32" s="102">
        <v>0</v>
      </c>
      <c r="K32" s="102">
        <v>0</v>
      </c>
      <c r="L32" s="102">
        <v>0</v>
      </c>
    </row>
    <row r="33" spans="2:13" ht="30" customHeight="1" x14ac:dyDescent="0.25">
      <c r="B33" s="102" t="str">
        <f>+'CART.SERVICIOS'!C20</f>
        <v xml:space="preserve">Salud mental 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</row>
    <row r="34" spans="2:13" ht="24.75" customHeight="1" x14ac:dyDescent="0.25">
      <c r="B34" s="102" t="str">
        <f>+'CART.SERVICIOS'!C21</f>
        <v>COVID u otras afecciones respiratorias</v>
      </c>
      <c r="C34" s="102">
        <v>0</v>
      </c>
      <c r="D34" s="102">
        <v>0</v>
      </c>
      <c r="E34" s="102">
        <v>0</v>
      </c>
      <c r="F34" s="102">
        <v>0</v>
      </c>
      <c r="G34" s="102">
        <v>0</v>
      </c>
      <c r="H34" s="102">
        <v>0</v>
      </c>
      <c r="I34" s="102">
        <v>0</v>
      </c>
      <c r="J34" s="102">
        <v>0</v>
      </c>
      <c r="K34" s="102">
        <v>0</v>
      </c>
      <c r="L34" s="102">
        <v>0</v>
      </c>
    </row>
    <row r="35" spans="2:13" x14ac:dyDescent="0.25">
      <c r="B35" s="102" t="str">
        <f>+'CART.SERVICIOS'!C22</f>
        <v>Topico Urgencias y emergencias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</row>
    <row r="36" spans="2:13" x14ac:dyDescent="0.25">
      <c r="B36" s="102" t="str">
        <f>+'CART.SERVICIOS'!C23</f>
        <v>Sala de observacion de mergencia</v>
      </c>
      <c r="C36" s="102">
        <v>0</v>
      </c>
      <c r="D36" s="102">
        <v>0</v>
      </c>
      <c r="E36" s="102">
        <v>0</v>
      </c>
      <c r="F36" s="102">
        <v>0</v>
      </c>
      <c r="G36" s="102">
        <v>0</v>
      </c>
      <c r="H36" s="102">
        <v>0</v>
      </c>
      <c r="I36" s="102">
        <v>0</v>
      </c>
      <c r="J36" s="102">
        <v>0</v>
      </c>
      <c r="K36" s="102">
        <v>0</v>
      </c>
      <c r="L36" s="102">
        <v>0</v>
      </c>
    </row>
    <row r="37" spans="2:13" x14ac:dyDescent="0.25">
      <c r="B37" s="102" t="str">
        <f>+'CART.SERVICIOS'!C24</f>
        <v>Laboratorio</v>
      </c>
      <c r="C37" s="102">
        <v>0</v>
      </c>
      <c r="D37" s="102">
        <v>0</v>
      </c>
      <c r="E37" s="102">
        <v>0</v>
      </c>
      <c r="F37" s="102">
        <v>0</v>
      </c>
      <c r="G37" s="102">
        <v>0</v>
      </c>
      <c r="H37" s="102">
        <v>0</v>
      </c>
      <c r="I37" s="102">
        <v>0</v>
      </c>
      <c r="J37" s="102">
        <v>0</v>
      </c>
      <c r="K37" s="102">
        <v>0</v>
      </c>
      <c r="L37" s="102">
        <v>0</v>
      </c>
    </row>
    <row r="38" spans="2:13" x14ac:dyDescent="0.25">
      <c r="B38" s="102" t="str">
        <f>+'CART.SERVICIOS'!C25</f>
        <v xml:space="preserve">Ecografia </v>
      </c>
      <c r="C38" s="102">
        <v>0</v>
      </c>
      <c r="D38" s="102">
        <v>0</v>
      </c>
      <c r="E38" s="102">
        <v>0</v>
      </c>
      <c r="F38" s="102">
        <v>0</v>
      </c>
      <c r="G38" s="102">
        <v>0</v>
      </c>
      <c r="H38" s="102">
        <v>0</v>
      </c>
      <c r="I38" s="102">
        <v>0</v>
      </c>
      <c r="J38" s="102">
        <v>0</v>
      </c>
      <c r="K38" s="102">
        <v>0</v>
      </c>
      <c r="L38" s="102">
        <v>0</v>
      </c>
      <c r="M38" s="102">
        <v>0</v>
      </c>
    </row>
    <row r="39" spans="2:13" x14ac:dyDescent="0.25">
      <c r="B39" s="102" t="str">
        <f>+'CART.SERVICIOS'!C26</f>
        <v>Radiografia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</row>
  </sheetData>
  <mergeCells count="13">
    <mergeCell ref="C15:L15"/>
    <mergeCell ref="B15:B16"/>
    <mergeCell ref="B1:C1"/>
    <mergeCell ref="E1:F1"/>
    <mergeCell ref="H1:I1"/>
    <mergeCell ref="K1:L1"/>
    <mergeCell ref="B8:C8"/>
    <mergeCell ref="B11:C11"/>
    <mergeCell ref="E8:F8"/>
    <mergeCell ref="H8:I8"/>
    <mergeCell ref="E11:F11"/>
    <mergeCell ref="H11:I11"/>
    <mergeCell ref="B14:L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8"/>
  <sheetViews>
    <sheetView topLeftCell="A60" workbookViewId="0">
      <selection sqref="A1:K88"/>
    </sheetView>
  </sheetViews>
  <sheetFormatPr baseColWidth="10" defaultRowHeight="15" x14ac:dyDescent="0.25"/>
  <cols>
    <col min="1" max="1" width="26.85546875" customWidth="1"/>
  </cols>
  <sheetData>
    <row r="1" spans="1:11" ht="21" customHeight="1" x14ac:dyDescent="0.25">
      <c r="A1" s="259" t="s">
        <v>64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</row>
    <row r="2" spans="1:11" x14ac:dyDescent="0.25">
      <c r="A2" s="254" t="s">
        <v>60</v>
      </c>
      <c r="B2" s="254" t="s">
        <v>65</v>
      </c>
      <c r="C2" s="254"/>
      <c r="D2" s="254"/>
      <c r="E2" s="254"/>
      <c r="F2" s="254"/>
      <c r="G2" s="254"/>
      <c r="H2" s="254"/>
      <c r="I2" s="254"/>
      <c r="J2" s="254"/>
      <c r="K2" s="254"/>
    </row>
    <row r="3" spans="1:11" ht="16.5" customHeight="1" x14ac:dyDescent="0.25">
      <c r="A3" s="239"/>
      <c r="B3" s="20">
        <v>1</v>
      </c>
      <c r="C3" s="20">
        <v>2</v>
      </c>
      <c r="D3" s="20">
        <v>3</v>
      </c>
      <c r="E3" s="20">
        <v>4</v>
      </c>
      <c r="F3" s="20">
        <v>5</v>
      </c>
      <c r="G3" s="20">
        <v>6</v>
      </c>
      <c r="H3" s="20">
        <v>7</v>
      </c>
      <c r="I3" s="20">
        <v>8</v>
      </c>
      <c r="J3" s="20">
        <v>9</v>
      </c>
      <c r="K3" s="20">
        <v>10</v>
      </c>
    </row>
    <row r="4" spans="1:11" ht="24.75" customHeight="1" x14ac:dyDescent="0.25">
      <c r="A4" s="294" t="s">
        <v>245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</row>
    <row r="5" spans="1:11" ht="15.75" customHeight="1" x14ac:dyDescent="0.25">
      <c r="A5" s="296" t="str">
        <f>+'DEMANDA SERV. DE SALUD CN PY'!C10</f>
        <v>Medicina General</v>
      </c>
      <c r="B5" s="297"/>
      <c r="C5" s="297"/>
      <c r="D5" s="297"/>
      <c r="E5" s="297"/>
      <c r="F5" s="297"/>
      <c r="G5" s="297"/>
      <c r="H5" s="297"/>
      <c r="I5" s="297"/>
      <c r="J5" s="297"/>
      <c r="K5" s="297"/>
    </row>
    <row r="6" spans="1:11" x14ac:dyDescent="0.25">
      <c r="A6" s="40" t="s">
        <v>66</v>
      </c>
      <c r="B6" s="124">
        <f>+'DEMANDA SERV. DE SALUD CN PY'!G11</f>
        <v>512</v>
      </c>
      <c r="C6" s="124">
        <f>+'DEMANDA SERV. DE SALUD CN PY'!H11</f>
        <v>512</v>
      </c>
      <c r="D6" s="124">
        <f>+'DEMANDA SERV. DE SALUD CN PY'!I11</f>
        <v>512</v>
      </c>
      <c r="E6" s="124">
        <f>+'DEMANDA SERV. DE SALUD CN PY'!J11</f>
        <v>512</v>
      </c>
      <c r="F6" s="124">
        <f>+'DEMANDA SERV. DE SALUD CN PY'!K11</f>
        <v>512</v>
      </c>
      <c r="G6" s="124">
        <f>+'DEMANDA SERV. DE SALUD CN PY'!L11</f>
        <v>512</v>
      </c>
      <c r="H6" s="124">
        <f>+'DEMANDA SERV. DE SALUD CN PY'!M11</f>
        <v>512</v>
      </c>
      <c r="I6" s="124">
        <f>+'DEMANDA SERV. DE SALUD CN PY'!N11</f>
        <v>513</v>
      </c>
      <c r="J6" s="124">
        <f>+'DEMANDA SERV. DE SALUD CN PY'!O11</f>
        <v>513</v>
      </c>
      <c r="K6" s="124">
        <f>+'DEMANDA SERV. DE SALUD CN PY'!P11</f>
        <v>513</v>
      </c>
    </row>
    <row r="7" spans="1:11" x14ac:dyDescent="0.25">
      <c r="A7" s="57" t="s">
        <v>67</v>
      </c>
      <c r="B7" s="57">
        <f>'OFERTA ACTUAL '!C10</f>
        <v>0</v>
      </c>
      <c r="C7" s="57">
        <f>'OFERTA ACTUAL '!D10</f>
        <v>0</v>
      </c>
      <c r="D7" s="57">
        <f>'OFERTA ACTUAL '!E10</f>
        <v>0</v>
      </c>
      <c r="E7" s="57">
        <f>'OFERTA ACTUAL '!F10</f>
        <v>0</v>
      </c>
      <c r="F7" s="57">
        <f>'OFERTA ACTUAL '!G10</f>
        <v>0</v>
      </c>
      <c r="G7" s="57">
        <f>'OFERTA ACTUAL '!H10</f>
        <v>0</v>
      </c>
      <c r="H7" s="57">
        <f>'OFERTA ACTUAL '!I10</f>
        <v>0</v>
      </c>
      <c r="I7" s="57">
        <f>'OFERTA ACTUAL '!J10</f>
        <v>0</v>
      </c>
      <c r="J7" s="57">
        <f>'OFERTA ACTUAL '!K10</f>
        <v>0</v>
      </c>
      <c r="K7" s="57">
        <f>'OFERTA ACTUAL '!L10</f>
        <v>0</v>
      </c>
    </row>
    <row r="8" spans="1:11" x14ac:dyDescent="0.25">
      <c r="A8" s="58" t="s">
        <v>68</v>
      </c>
      <c r="B8" s="59">
        <f t="shared" ref="B8:I8" si="0">B7-B6</f>
        <v>-512</v>
      </c>
      <c r="C8" s="59">
        <f t="shared" si="0"/>
        <v>-512</v>
      </c>
      <c r="D8" s="59">
        <f t="shared" si="0"/>
        <v>-512</v>
      </c>
      <c r="E8" s="59">
        <f t="shared" si="0"/>
        <v>-512</v>
      </c>
      <c r="F8" s="59">
        <f t="shared" si="0"/>
        <v>-512</v>
      </c>
      <c r="G8" s="59">
        <f t="shared" si="0"/>
        <v>-512</v>
      </c>
      <c r="H8" s="59">
        <f t="shared" si="0"/>
        <v>-512</v>
      </c>
      <c r="I8" s="59">
        <f t="shared" si="0"/>
        <v>-513</v>
      </c>
      <c r="J8" s="59"/>
      <c r="K8" s="59"/>
    </row>
    <row r="9" spans="1:11" ht="15.75" customHeight="1" x14ac:dyDescent="0.25">
      <c r="A9" s="296" t="str">
        <f>+'DEMANDA SERV. DE SALUD CN PY'!C15</f>
        <v xml:space="preserve">TELECONSULTA MEDICA </v>
      </c>
      <c r="B9" s="297"/>
      <c r="C9" s="297"/>
      <c r="D9" s="297"/>
      <c r="E9" s="297"/>
      <c r="F9" s="297"/>
      <c r="G9" s="297"/>
      <c r="H9" s="297"/>
      <c r="I9" s="297"/>
      <c r="J9" s="297"/>
      <c r="K9" s="297"/>
    </row>
    <row r="10" spans="1:11" x14ac:dyDescent="0.25">
      <c r="A10" s="40" t="s">
        <v>66</v>
      </c>
      <c r="B10" s="124">
        <f>+'DEMANDA SERV. DE SALUD CN PY'!E21</f>
        <v>341</v>
      </c>
      <c r="C10" s="124">
        <f>+'DEMANDA SERV. DE SALUD CN PY'!F21</f>
        <v>341</v>
      </c>
      <c r="D10" s="124">
        <f>+'DEMANDA SERV. DE SALUD CN PY'!G21</f>
        <v>341</v>
      </c>
      <c r="E10" s="124">
        <f>+'DEMANDA SERV. DE SALUD CN PY'!H21</f>
        <v>341</v>
      </c>
      <c r="F10" s="124">
        <f>+'DEMANDA SERV. DE SALUD CN PY'!I21</f>
        <v>341</v>
      </c>
      <c r="G10" s="124">
        <f>+'DEMANDA SERV. DE SALUD CN PY'!J21</f>
        <v>341</v>
      </c>
      <c r="H10" s="124">
        <f>+'DEMANDA SERV. DE SALUD CN PY'!K21</f>
        <v>341</v>
      </c>
      <c r="I10" s="124">
        <f>+'DEMANDA SERV. DE SALUD CN PY'!L21</f>
        <v>342</v>
      </c>
      <c r="J10" s="124">
        <f>+'DEMANDA SERV. DE SALUD CN PY'!M21</f>
        <v>342</v>
      </c>
      <c r="K10" s="124">
        <f>+'DEMANDA SERV. DE SALUD CN PY'!N21</f>
        <v>342</v>
      </c>
    </row>
    <row r="11" spans="1:11" x14ac:dyDescent="0.25">
      <c r="A11" s="57" t="s">
        <v>67</v>
      </c>
      <c r="B11" s="57">
        <f>'OFERTA ACTUAL '!C14</f>
        <v>0</v>
      </c>
      <c r="C11" s="57">
        <f>'OFERTA ACTUAL '!D14</f>
        <v>0</v>
      </c>
      <c r="D11" s="57">
        <f>'OFERTA ACTUAL '!E14</f>
        <v>0</v>
      </c>
      <c r="E11" s="57">
        <f>'OFERTA ACTUAL '!F14</f>
        <v>0</v>
      </c>
      <c r="F11" s="57">
        <f>'OFERTA ACTUAL '!G14</f>
        <v>0</v>
      </c>
      <c r="G11" s="57">
        <f>'OFERTA ACTUAL '!H14</f>
        <v>0</v>
      </c>
      <c r="H11" s="57">
        <f>'OFERTA ACTUAL '!I14</f>
        <v>0</v>
      </c>
      <c r="I11" s="57">
        <f>'OFERTA ACTUAL '!J14</f>
        <v>0</v>
      </c>
      <c r="J11" s="57">
        <f>'OFERTA ACTUAL '!K14</f>
        <v>0</v>
      </c>
      <c r="K11" s="57">
        <f>'OFERTA ACTUAL '!L14</f>
        <v>0</v>
      </c>
    </row>
    <row r="12" spans="1:11" x14ac:dyDescent="0.25">
      <c r="A12" s="58" t="s">
        <v>68</v>
      </c>
      <c r="B12" s="59">
        <f t="shared" ref="B12:I12" si="1">B11-B10</f>
        <v>-341</v>
      </c>
      <c r="C12" s="59">
        <f t="shared" si="1"/>
        <v>-341</v>
      </c>
      <c r="D12" s="59">
        <f t="shared" si="1"/>
        <v>-341</v>
      </c>
      <c r="E12" s="59">
        <f t="shared" si="1"/>
        <v>-341</v>
      </c>
      <c r="F12" s="59">
        <f t="shared" si="1"/>
        <v>-341</v>
      </c>
      <c r="G12" s="59">
        <f t="shared" si="1"/>
        <v>-341</v>
      </c>
      <c r="H12" s="59">
        <f t="shared" si="1"/>
        <v>-341</v>
      </c>
      <c r="I12" s="59">
        <f t="shared" si="1"/>
        <v>-342</v>
      </c>
      <c r="J12" s="59"/>
      <c r="K12" s="59"/>
    </row>
    <row r="13" spans="1:11" ht="15.75" customHeight="1" x14ac:dyDescent="0.25">
      <c r="A13" s="296" t="s">
        <v>61</v>
      </c>
      <c r="B13" s="297"/>
      <c r="C13" s="297"/>
      <c r="D13" s="297"/>
      <c r="E13" s="297"/>
      <c r="F13" s="297"/>
      <c r="G13" s="297"/>
      <c r="H13" s="297"/>
      <c r="I13" s="297"/>
      <c r="J13" s="297"/>
      <c r="K13" s="297"/>
    </row>
    <row r="14" spans="1:11" x14ac:dyDescent="0.25">
      <c r="A14" s="40" t="s">
        <v>66</v>
      </c>
      <c r="B14" s="124">
        <f>+'DEMANDA SERV. DE SALUD CN PY'!G36</f>
        <v>162</v>
      </c>
      <c r="C14" s="124">
        <f>+'DEMANDA SERV. DE SALUD CN PY'!H36</f>
        <v>162</v>
      </c>
      <c r="D14" s="124">
        <f>+'DEMANDA SERV. DE SALUD CN PY'!I36</f>
        <v>162</v>
      </c>
      <c r="E14" s="124">
        <f>+'DEMANDA SERV. DE SALUD CN PY'!J36</f>
        <v>162</v>
      </c>
      <c r="F14" s="124">
        <f>+'DEMANDA SERV. DE SALUD CN PY'!K36</f>
        <v>162</v>
      </c>
      <c r="G14" s="124">
        <f>+'DEMANDA SERV. DE SALUD CN PY'!L36</f>
        <v>162</v>
      </c>
      <c r="H14" s="124">
        <f>+'DEMANDA SERV. DE SALUD CN PY'!M36</f>
        <v>162</v>
      </c>
      <c r="I14" s="124">
        <f>+'DEMANDA SERV. DE SALUD CN PY'!N36</f>
        <v>162</v>
      </c>
      <c r="J14" s="124">
        <f>+'DEMANDA SERV. DE SALUD CN PY'!O36</f>
        <v>162</v>
      </c>
      <c r="K14" s="124">
        <f>+'DEMANDA SERV. DE SALUD CN PY'!P36</f>
        <v>162</v>
      </c>
    </row>
    <row r="15" spans="1:11" x14ac:dyDescent="0.25">
      <c r="A15" s="57" t="s">
        <v>67</v>
      </c>
      <c r="B15" s="57">
        <f>'OFERTA ACTUAL '!C17</f>
        <v>0</v>
      </c>
      <c r="C15" s="57">
        <f>'OFERTA ACTUAL '!D17</f>
        <v>0</v>
      </c>
      <c r="D15" s="57">
        <f>'OFERTA ACTUAL '!E17</f>
        <v>0</v>
      </c>
      <c r="E15" s="57">
        <f>'OFERTA ACTUAL '!F17</f>
        <v>0</v>
      </c>
      <c r="F15" s="57">
        <f>'OFERTA ACTUAL '!G17</f>
        <v>0</v>
      </c>
      <c r="G15" s="57">
        <f>'OFERTA ACTUAL '!H17</f>
        <v>0</v>
      </c>
      <c r="H15" s="57">
        <f>'OFERTA ACTUAL '!I17</f>
        <v>0</v>
      </c>
      <c r="I15" s="57">
        <f>'OFERTA ACTUAL '!J17</f>
        <v>0</v>
      </c>
      <c r="J15" s="57">
        <f>'OFERTA ACTUAL '!K17</f>
        <v>0</v>
      </c>
      <c r="K15" s="57">
        <f>'OFERTA ACTUAL '!L17</f>
        <v>0</v>
      </c>
    </row>
    <row r="16" spans="1:11" x14ac:dyDescent="0.25">
      <c r="A16" s="58" t="s">
        <v>68</v>
      </c>
      <c r="B16" s="59">
        <f t="shared" ref="B16:I16" si="2">B15-B14</f>
        <v>-162</v>
      </c>
      <c r="C16" s="59">
        <f t="shared" si="2"/>
        <v>-162</v>
      </c>
      <c r="D16" s="59">
        <f t="shared" si="2"/>
        <v>-162</v>
      </c>
      <c r="E16" s="59">
        <f t="shared" si="2"/>
        <v>-162</v>
      </c>
      <c r="F16" s="59">
        <f t="shared" si="2"/>
        <v>-162</v>
      </c>
      <c r="G16" s="59">
        <f t="shared" si="2"/>
        <v>-162</v>
      </c>
      <c r="H16" s="59">
        <f t="shared" si="2"/>
        <v>-162</v>
      </c>
      <c r="I16" s="59">
        <f t="shared" si="2"/>
        <v>-162</v>
      </c>
      <c r="J16" s="59"/>
      <c r="K16" s="59"/>
    </row>
    <row r="17" spans="1:11" x14ac:dyDescent="0.25">
      <c r="A17" s="296" t="s">
        <v>193</v>
      </c>
      <c r="B17" s="297"/>
      <c r="C17" s="297"/>
      <c r="D17" s="297"/>
      <c r="E17" s="297"/>
      <c r="F17" s="297"/>
      <c r="G17" s="297"/>
      <c r="H17" s="297"/>
      <c r="I17" s="297"/>
      <c r="J17" s="297"/>
      <c r="K17" s="297"/>
    </row>
    <row r="18" spans="1:11" x14ac:dyDescent="0.25">
      <c r="A18" s="40" t="s">
        <v>66</v>
      </c>
      <c r="B18" s="124">
        <f>+'DEMANDA SERV. DE SALUD CN PY'!G56</f>
        <v>84</v>
      </c>
      <c r="C18" s="124">
        <f>+'DEMANDA SERV. DE SALUD CN PY'!H56</f>
        <v>84</v>
      </c>
      <c r="D18" s="124">
        <f>+'DEMANDA SERV. DE SALUD CN PY'!I56</f>
        <v>84</v>
      </c>
      <c r="E18" s="124">
        <f>+'DEMANDA SERV. DE SALUD CN PY'!J56</f>
        <v>84</v>
      </c>
      <c r="F18" s="124">
        <f>+'DEMANDA SERV. DE SALUD CN PY'!K56</f>
        <v>84</v>
      </c>
      <c r="G18" s="124">
        <f>+'DEMANDA SERV. DE SALUD CN PY'!L56</f>
        <v>84</v>
      </c>
      <c r="H18" s="124">
        <f>+'DEMANDA SERV. DE SALUD CN PY'!M56</f>
        <v>84</v>
      </c>
      <c r="I18" s="124">
        <f>+'DEMANDA SERV. DE SALUD CN PY'!N56</f>
        <v>84</v>
      </c>
      <c r="J18" s="124">
        <f>+'DEMANDA SERV. DE SALUD CN PY'!O56</f>
        <v>84</v>
      </c>
      <c r="K18" s="124">
        <f>+'DEMANDA SERV. DE SALUD CN PY'!P56</f>
        <v>84</v>
      </c>
    </row>
    <row r="19" spans="1:11" x14ac:dyDescent="0.25">
      <c r="A19" s="57" t="s">
        <v>67</v>
      </c>
      <c r="B19" s="57">
        <f>'OFERTA ACTUAL '!C21</f>
        <v>0</v>
      </c>
      <c r="C19" s="57">
        <f>'OFERTA ACTUAL '!D21</f>
        <v>0</v>
      </c>
      <c r="D19" s="57">
        <f>'OFERTA ACTUAL '!E21</f>
        <v>0</v>
      </c>
      <c r="E19" s="57">
        <f>'OFERTA ACTUAL '!F21</f>
        <v>0</v>
      </c>
      <c r="F19" s="57">
        <f>'OFERTA ACTUAL '!G21</f>
        <v>0</v>
      </c>
      <c r="G19" s="57">
        <f>'OFERTA ACTUAL '!H21</f>
        <v>0</v>
      </c>
      <c r="H19" s="57">
        <f>'OFERTA ACTUAL '!I21</f>
        <v>0</v>
      </c>
      <c r="I19" s="57">
        <f>'OFERTA ACTUAL '!J21</f>
        <v>0</v>
      </c>
      <c r="J19" s="57">
        <f>'OFERTA ACTUAL '!K21</f>
        <v>0</v>
      </c>
      <c r="K19" s="57">
        <f>'OFERTA ACTUAL '!L21</f>
        <v>0</v>
      </c>
    </row>
    <row r="20" spans="1:11" ht="15.75" customHeight="1" x14ac:dyDescent="0.25">
      <c r="A20" s="58" t="s">
        <v>68</v>
      </c>
      <c r="B20" s="59">
        <f t="shared" ref="B20:I20" si="3">B19-B18</f>
        <v>-84</v>
      </c>
      <c r="C20" s="59">
        <f t="shared" si="3"/>
        <v>-84</v>
      </c>
      <c r="D20" s="59">
        <f t="shared" si="3"/>
        <v>-84</v>
      </c>
      <c r="E20" s="59">
        <f t="shared" si="3"/>
        <v>-84</v>
      </c>
      <c r="F20" s="59">
        <f t="shared" si="3"/>
        <v>-84</v>
      </c>
      <c r="G20" s="59">
        <f t="shared" si="3"/>
        <v>-84</v>
      </c>
      <c r="H20" s="59">
        <f t="shared" si="3"/>
        <v>-84</v>
      </c>
      <c r="I20" s="59">
        <f t="shared" si="3"/>
        <v>-84</v>
      </c>
      <c r="J20" s="59">
        <f>J19-J18</f>
        <v>-84</v>
      </c>
      <c r="K20" s="59">
        <f>K19-K18</f>
        <v>-84</v>
      </c>
    </row>
    <row r="21" spans="1:11" x14ac:dyDescent="0.25">
      <c r="A21" s="296" t="s">
        <v>194</v>
      </c>
      <c r="B21" s="297"/>
      <c r="C21" s="297"/>
      <c r="D21" s="297"/>
      <c r="E21" s="297"/>
      <c r="F21" s="297"/>
      <c r="G21" s="297"/>
      <c r="H21" s="297"/>
      <c r="I21" s="297"/>
      <c r="J21" s="297"/>
      <c r="K21" s="297"/>
    </row>
    <row r="22" spans="1:11" x14ac:dyDescent="0.25">
      <c r="A22" s="40" t="s">
        <v>66</v>
      </c>
      <c r="B22" s="124">
        <f>+'DEMANDA SERV. DE SALUD CN PY'!G75</f>
        <v>90</v>
      </c>
      <c r="C22" s="124">
        <f>+'DEMANDA SERV. DE SALUD CN PY'!H75</f>
        <v>90</v>
      </c>
      <c r="D22" s="124">
        <f>+'DEMANDA SERV. DE SALUD CN PY'!I75</f>
        <v>90</v>
      </c>
      <c r="E22" s="124">
        <f>+'DEMANDA SERV. DE SALUD CN PY'!J75</f>
        <v>90</v>
      </c>
      <c r="F22" s="124">
        <f>+'DEMANDA SERV. DE SALUD CN PY'!K75</f>
        <v>90</v>
      </c>
      <c r="G22" s="124">
        <f>+'DEMANDA SERV. DE SALUD CN PY'!L75</f>
        <v>90</v>
      </c>
      <c r="H22" s="124">
        <f>+'DEMANDA SERV. DE SALUD CN PY'!M75</f>
        <v>90</v>
      </c>
      <c r="I22" s="124">
        <f>+'DEMANDA SERV. DE SALUD CN PY'!N75</f>
        <v>90</v>
      </c>
      <c r="J22" s="124">
        <f>+'DEMANDA SERV. DE SALUD CN PY'!O75</f>
        <v>90</v>
      </c>
      <c r="K22" s="124">
        <f>+'DEMANDA SERV. DE SALUD CN PY'!P75</f>
        <v>90</v>
      </c>
    </row>
    <row r="23" spans="1:11" x14ac:dyDescent="0.25">
      <c r="A23" s="57" t="s">
        <v>67</v>
      </c>
      <c r="B23" s="57">
        <f>'OFERTA ACTUAL '!C25</f>
        <v>0</v>
      </c>
      <c r="C23" s="57">
        <f>'OFERTA ACTUAL '!D25</f>
        <v>0</v>
      </c>
      <c r="D23" s="57">
        <f>'OFERTA ACTUAL '!E25</f>
        <v>0</v>
      </c>
      <c r="E23" s="57">
        <f>'OFERTA ACTUAL '!F25</f>
        <v>0</v>
      </c>
      <c r="F23" s="57">
        <f>'OFERTA ACTUAL '!G25</f>
        <v>0</v>
      </c>
      <c r="G23" s="57">
        <f>'OFERTA ACTUAL '!H25</f>
        <v>0</v>
      </c>
      <c r="H23" s="57">
        <f>'OFERTA ACTUAL '!I25</f>
        <v>0</v>
      </c>
      <c r="I23" s="57">
        <f>'OFERTA ACTUAL '!J25</f>
        <v>0</v>
      </c>
      <c r="J23" s="57">
        <v>0</v>
      </c>
      <c r="K23" s="57">
        <v>0</v>
      </c>
    </row>
    <row r="24" spans="1:11" ht="24.75" customHeight="1" x14ac:dyDescent="0.25">
      <c r="A24" s="58" t="s">
        <v>68</v>
      </c>
      <c r="B24" s="59">
        <f t="shared" ref="B24:I24" si="4">B23-B22</f>
        <v>-90</v>
      </c>
      <c r="C24" s="59">
        <f t="shared" si="4"/>
        <v>-90</v>
      </c>
      <c r="D24" s="59">
        <f t="shared" si="4"/>
        <v>-90</v>
      </c>
      <c r="E24" s="59">
        <f t="shared" si="4"/>
        <v>-90</v>
      </c>
      <c r="F24" s="59">
        <f t="shared" si="4"/>
        <v>-90</v>
      </c>
      <c r="G24" s="59">
        <f t="shared" si="4"/>
        <v>-90</v>
      </c>
      <c r="H24" s="59">
        <f t="shared" si="4"/>
        <v>-90</v>
      </c>
      <c r="I24" s="59">
        <f t="shared" si="4"/>
        <v>-90</v>
      </c>
      <c r="J24" s="59">
        <f>J23-J22</f>
        <v>-90</v>
      </c>
      <c r="K24" s="59">
        <f>K23-K22</f>
        <v>-90</v>
      </c>
    </row>
    <row r="25" spans="1:11" ht="15.75" customHeight="1" x14ac:dyDescent="0.25">
      <c r="A25" s="296" t="s">
        <v>246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</row>
    <row r="26" spans="1:11" x14ac:dyDescent="0.25">
      <c r="A26" s="40" t="s">
        <v>66</v>
      </c>
      <c r="B26" s="124">
        <f>+'DEMANDA SERV. DE SALUD CN PY'!G95</f>
        <v>292</v>
      </c>
      <c r="C26" s="124">
        <f>+'DEMANDA SERV. DE SALUD CN PY'!H95</f>
        <v>292</v>
      </c>
      <c r="D26" s="124">
        <f>+'DEMANDA SERV. DE SALUD CN PY'!I95</f>
        <v>292</v>
      </c>
      <c r="E26" s="124">
        <f>+'DEMANDA SERV. DE SALUD CN PY'!J95</f>
        <v>292</v>
      </c>
      <c r="F26" s="124">
        <f>+'DEMANDA SERV. DE SALUD CN PY'!K95</f>
        <v>292</v>
      </c>
      <c r="G26" s="124">
        <f>+'DEMANDA SERV. DE SALUD CN PY'!L95</f>
        <v>292</v>
      </c>
      <c r="H26" s="124">
        <f>+'DEMANDA SERV. DE SALUD CN PY'!M95</f>
        <v>292</v>
      </c>
      <c r="I26" s="124">
        <f>+'DEMANDA SERV. DE SALUD CN PY'!N95</f>
        <v>292</v>
      </c>
      <c r="J26" s="124">
        <f>+'DEMANDA SERV. DE SALUD CN PY'!O95</f>
        <v>292</v>
      </c>
      <c r="K26" s="124">
        <f>+'DEMANDA SERV. DE SALUD CN PY'!P95</f>
        <v>292</v>
      </c>
    </row>
    <row r="27" spans="1:11" x14ac:dyDescent="0.25">
      <c r="A27" s="57" t="s">
        <v>67</v>
      </c>
      <c r="B27" s="57">
        <f>'OFERTA ACTUAL '!C29</f>
        <v>0</v>
      </c>
      <c r="C27" s="57">
        <f>'OFERTA ACTUAL '!D29</f>
        <v>0</v>
      </c>
      <c r="D27" s="57">
        <f>'OFERTA ACTUAL '!E29</f>
        <v>0</v>
      </c>
      <c r="E27" s="57">
        <f>'OFERTA ACTUAL '!F29</f>
        <v>0</v>
      </c>
      <c r="F27" s="57">
        <f>'OFERTA ACTUAL '!G29</f>
        <v>0</v>
      </c>
      <c r="G27" s="57">
        <f>'OFERTA ACTUAL '!H29</f>
        <v>0</v>
      </c>
      <c r="H27" s="57">
        <f>'OFERTA ACTUAL '!I29</f>
        <v>0</v>
      </c>
      <c r="I27" s="57">
        <f>'OFERTA ACTUAL '!J29</f>
        <v>0</v>
      </c>
      <c r="J27" s="57">
        <v>0</v>
      </c>
      <c r="K27" s="57">
        <v>0</v>
      </c>
    </row>
    <row r="28" spans="1:11" x14ac:dyDescent="0.25">
      <c r="A28" s="58" t="s">
        <v>68</v>
      </c>
      <c r="B28" s="59">
        <f t="shared" ref="B28:I28" si="5">B27-B26</f>
        <v>-292</v>
      </c>
      <c r="C28" s="59">
        <f t="shared" si="5"/>
        <v>-292</v>
      </c>
      <c r="D28" s="59">
        <f t="shared" si="5"/>
        <v>-292</v>
      </c>
      <c r="E28" s="59">
        <f t="shared" si="5"/>
        <v>-292</v>
      </c>
      <c r="F28" s="59">
        <f t="shared" si="5"/>
        <v>-292</v>
      </c>
      <c r="G28" s="59">
        <f t="shared" si="5"/>
        <v>-292</v>
      </c>
      <c r="H28" s="59">
        <f t="shared" si="5"/>
        <v>-292</v>
      </c>
      <c r="I28" s="59">
        <f t="shared" si="5"/>
        <v>-292</v>
      </c>
      <c r="J28" s="59">
        <f>J27-J26</f>
        <v>-292</v>
      </c>
      <c r="K28" s="59">
        <f>K27-K26</f>
        <v>-292</v>
      </c>
    </row>
    <row r="29" spans="1:11" x14ac:dyDescent="0.25">
      <c r="A29" s="296" t="s">
        <v>247</v>
      </c>
      <c r="B29" s="297"/>
      <c r="C29" s="297"/>
      <c r="D29" s="297"/>
      <c r="E29" s="297"/>
      <c r="F29" s="297"/>
      <c r="G29" s="297"/>
      <c r="H29" s="297"/>
      <c r="I29" s="297"/>
      <c r="J29" s="297"/>
      <c r="K29" s="297"/>
    </row>
    <row r="30" spans="1:11" x14ac:dyDescent="0.25">
      <c r="A30" s="40" t="s">
        <v>66</v>
      </c>
      <c r="B30" s="124">
        <f>+'DEMANDA SERV. DE SALUD CN PY'!G115</f>
        <v>292</v>
      </c>
      <c r="C30" s="124">
        <f>+'DEMANDA SERV. DE SALUD CN PY'!H115</f>
        <v>292</v>
      </c>
      <c r="D30" s="124">
        <f>+'DEMANDA SERV. DE SALUD CN PY'!I115</f>
        <v>292</v>
      </c>
      <c r="E30" s="124">
        <f>+'DEMANDA SERV. DE SALUD CN PY'!J115</f>
        <v>292</v>
      </c>
      <c r="F30" s="124">
        <f>+'DEMANDA SERV. DE SALUD CN PY'!K115</f>
        <v>292</v>
      </c>
      <c r="G30" s="124">
        <f>+'DEMANDA SERV. DE SALUD CN PY'!L115</f>
        <v>292</v>
      </c>
      <c r="H30" s="124">
        <f>+'DEMANDA SERV. DE SALUD CN PY'!M115</f>
        <v>292</v>
      </c>
      <c r="I30" s="124">
        <f>+'DEMANDA SERV. DE SALUD CN PY'!N115</f>
        <v>292</v>
      </c>
      <c r="J30" s="124">
        <f>+'DEMANDA SERV. DE SALUD CN PY'!O115</f>
        <v>292</v>
      </c>
      <c r="K30" s="124">
        <f>+'DEMANDA SERV. DE SALUD CN PY'!P115</f>
        <v>292</v>
      </c>
    </row>
    <row r="31" spans="1:11" x14ac:dyDescent="0.25">
      <c r="A31" s="57" t="s">
        <v>67</v>
      </c>
      <c r="B31" s="57">
        <f>'OFERTA ACTUAL '!C33</f>
        <v>0</v>
      </c>
      <c r="C31" s="57">
        <f>'OFERTA ACTUAL '!D33</f>
        <v>0</v>
      </c>
      <c r="D31" s="57">
        <f>'OFERTA ACTUAL '!E33</f>
        <v>0</v>
      </c>
      <c r="E31" s="57">
        <f>'OFERTA ACTUAL '!F33</f>
        <v>0</v>
      </c>
      <c r="F31" s="57">
        <f>'OFERTA ACTUAL '!G33</f>
        <v>0</v>
      </c>
      <c r="G31" s="57">
        <f>'OFERTA ACTUAL '!H33</f>
        <v>0</v>
      </c>
      <c r="H31" s="57">
        <f>'OFERTA ACTUAL '!I33</f>
        <v>0</v>
      </c>
      <c r="I31" s="57">
        <f>'OFERTA ACTUAL '!J33</f>
        <v>0</v>
      </c>
      <c r="J31" s="57">
        <v>0</v>
      </c>
      <c r="K31" s="57">
        <v>0</v>
      </c>
    </row>
    <row r="32" spans="1:11" x14ac:dyDescent="0.25">
      <c r="A32" s="58" t="s">
        <v>68</v>
      </c>
      <c r="B32" s="59">
        <f t="shared" ref="B32:K32" si="6">B31-B30</f>
        <v>-292</v>
      </c>
      <c r="C32" s="59">
        <f t="shared" si="6"/>
        <v>-292</v>
      </c>
      <c r="D32" s="59">
        <f t="shared" si="6"/>
        <v>-292</v>
      </c>
      <c r="E32" s="59">
        <f t="shared" si="6"/>
        <v>-292</v>
      </c>
      <c r="F32" s="59">
        <f t="shared" si="6"/>
        <v>-292</v>
      </c>
      <c r="G32" s="59">
        <f t="shared" si="6"/>
        <v>-292</v>
      </c>
      <c r="H32" s="59">
        <f t="shared" si="6"/>
        <v>-292</v>
      </c>
      <c r="I32" s="59">
        <f t="shared" si="6"/>
        <v>-292</v>
      </c>
      <c r="J32" s="59">
        <f t="shared" si="6"/>
        <v>-292</v>
      </c>
      <c r="K32" s="59">
        <f t="shared" si="6"/>
        <v>-292</v>
      </c>
    </row>
    <row r="33" spans="1:11" x14ac:dyDescent="0.25">
      <c r="A33" s="296" t="s">
        <v>248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</row>
    <row r="34" spans="1:11" x14ac:dyDescent="0.25">
      <c r="A34" s="40" t="s">
        <v>66</v>
      </c>
      <c r="B34" s="124">
        <f>+'DEMANDA SERV. DE SALUD CN PY'!G135</f>
        <v>32</v>
      </c>
      <c r="C34" s="124">
        <f>+'DEMANDA SERV. DE SALUD CN PY'!H135</f>
        <v>32</v>
      </c>
      <c r="D34" s="124">
        <f>+'DEMANDA SERV. DE SALUD CN PY'!I135</f>
        <v>32</v>
      </c>
      <c r="E34" s="124">
        <f>+'DEMANDA SERV. DE SALUD CN PY'!J135</f>
        <v>32</v>
      </c>
      <c r="F34" s="124">
        <f>+'DEMANDA SERV. DE SALUD CN PY'!K135</f>
        <v>32</v>
      </c>
      <c r="G34" s="124">
        <f>+'DEMANDA SERV. DE SALUD CN PY'!L135</f>
        <v>32</v>
      </c>
      <c r="H34" s="124">
        <f>+'DEMANDA SERV. DE SALUD CN PY'!M135</f>
        <v>32</v>
      </c>
      <c r="I34" s="124">
        <f>+'DEMANDA SERV. DE SALUD CN PY'!N135</f>
        <v>32</v>
      </c>
      <c r="J34" s="124">
        <f>+'DEMANDA SERV. DE SALUD CN PY'!O135</f>
        <v>32</v>
      </c>
      <c r="K34" s="124">
        <f>+'DEMANDA SERV. DE SALUD CN PY'!P135</f>
        <v>32</v>
      </c>
    </row>
    <row r="35" spans="1:11" x14ac:dyDescent="0.25">
      <c r="A35" s="57" t="s">
        <v>67</v>
      </c>
      <c r="B35" s="57">
        <f>'OFERTA ACTUAL '!C37</f>
        <v>0</v>
      </c>
      <c r="C35" s="57">
        <f>'OFERTA ACTUAL '!D37</f>
        <v>0</v>
      </c>
      <c r="D35" s="57">
        <f>'OFERTA ACTUAL '!E37</f>
        <v>0</v>
      </c>
      <c r="E35" s="57">
        <f>'OFERTA ACTUAL '!F37</f>
        <v>0</v>
      </c>
      <c r="F35" s="57">
        <f>'OFERTA ACTUAL '!G37</f>
        <v>0</v>
      </c>
      <c r="G35" s="57">
        <f>'OFERTA ACTUAL '!H37</f>
        <v>0</v>
      </c>
      <c r="H35" s="57">
        <f>'OFERTA ACTUAL '!I37</f>
        <v>0</v>
      </c>
      <c r="I35" s="57">
        <f>'OFERTA ACTUAL '!J37</f>
        <v>0</v>
      </c>
      <c r="J35" s="57">
        <v>0</v>
      </c>
      <c r="K35" s="57">
        <v>0</v>
      </c>
    </row>
    <row r="36" spans="1:11" x14ac:dyDescent="0.25">
      <c r="A36" s="58" t="s">
        <v>68</v>
      </c>
      <c r="B36" s="59">
        <f t="shared" ref="B36:K36" si="7">B35-B34</f>
        <v>-32</v>
      </c>
      <c r="C36" s="59">
        <f t="shared" si="7"/>
        <v>-32</v>
      </c>
      <c r="D36" s="59">
        <f t="shared" si="7"/>
        <v>-32</v>
      </c>
      <c r="E36" s="59">
        <f t="shared" si="7"/>
        <v>-32</v>
      </c>
      <c r="F36" s="59">
        <f t="shared" si="7"/>
        <v>-32</v>
      </c>
      <c r="G36" s="59">
        <f t="shared" si="7"/>
        <v>-32</v>
      </c>
      <c r="H36" s="59">
        <f t="shared" si="7"/>
        <v>-32</v>
      </c>
      <c r="I36" s="59">
        <f t="shared" si="7"/>
        <v>-32</v>
      </c>
      <c r="J36" s="59">
        <f t="shared" si="7"/>
        <v>-32</v>
      </c>
      <c r="K36" s="59">
        <f t="shared" si="7"/>
        <v>-32</v>
      </c>
    </row>
    <row r="37" spans="1:11" x14ac:dyDescent="0.25">
      <c r="A37" s="296" t="s">
        <v>250</v>
      </c>
      <c r="B37" s="297"/>
      <c r="C37" s="297"/>
      <c r="D37" s="297"/>
      <c r="E37" s="297"/>
      <c r="F37" s="297"/>
      <c r="G37" s="297"/>
      <c r="H37" s="297"/>
      <c r="I37" s="297"/>
      <c r="J37" s="297"/>
      <c r="K37" s="297"/>
    </row>
    <row r="38" spans="1:11" x14ac:dyDescent="0.25">
      <c r="A38" s="40" t="s">
        <v>66</v>
      </c>
      <c r="B38" s="124">
        <f>+'DEMANDA SERV. DE SALUD CN PY'!G155</f>
        <v>292</v>
      </c>
      <c r="C38" s="124">
        <f>+'DEMANDA SERV. DE SALUD CN PY'!H155</f>
        <v>292</v>
      </c>
      <c r="D38" s="124">
        <f>+'DEMANDA SERV. DE SALUD CN PY'!I155</f>
        <v>292</v>
      </c>
      <c r="E38" s="124">
        <f>+'DEMANDA SERV. DE SALUD CN PY'!J155</f>
        <v>292</v>
      </c>
      <c r="F38" s="124">
        <f>+'DEMANDA SERV. DE SALUD CN PY'!K155</f>
        <v>292</v>
      </c>
      <c r="G38" s="124">
        <f>+'DEMANDA SERV. DE SALUD CN PY'!L155</f>
        <v>292</v>
      </c>
      <c r="H38" s="124">
        <f>+'DEMANDA SERV. DE SALUD CN PY'!M155</f>
        <v>292</v>
      </c>
      <c r="I38" s="124">
        <f>+'DEMANDA SERV. DE SALUD CN PY'!N155</f>
        <v>292</v>
      </c>
      <c r="J38" s="124">
        <f>+'DEMANDA SERV. DE SALUD CN PY'!O155</f>
        <v>292</v>
      </c>
      <c r="K38" s="124">
        <f>+'DEMANDA SERV. DE SALUD CN PY'!P155</f>
        <v>292</v>
      </c>
    </row>
    <row r="39" spans="1:11" x14ac:dyDescent="0.25">
      <c r="A39" s="57" t="s">
        <v>67</v>
      </c>
      <c r="B39" s="57">
        <v>0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</row>
    <row r="40" spans="1:11" x14ac:dyDescent="0.25">
      <c r="A40" s="58" t="s">
        <v>68</v>
      </c>
      <c r="B40" s="59">
        <f t="shared" ref="B40:K40" si="8">B39-B38</f>
        <v>-292</v>
      </c>
      <c r="C40" s="59">
        <f t="shared" si="8"/>
        <v>-292</v>
      </c>
      <c r="D40" s="59">
        <f t="shared" si="8"/>
        <v>-292</v>
      </c>
      <c r="E40" s="59">
        <f t="shared" si="8"/>
        <v>-292</v>
      </c>
      <c r="F40" s="59">
        <f t="shared" si="8"/>
        <v>-292</v>
      </c>
      <c r="G40" s="59">
        <f t="shared" si="8"/>
        <v>-292</v>
      </c>
      <c r="H40" s="59">
        <f t="shared" si="8"/>
        <v>-292</v>
      </c>
      <c r="I40" s="59">
        <f t="shared" si="8"/>
        <v>-292</v>
      </c>
      <c r="J40" s="59">
        <f t="shared" si="8"/>
        <v>-292</v>
      </c>
      <c r="K40" s="59">
        <f t="shared" si="8"/>
        <v>-292</v>
      </c>
    </row>
    <row r="41" spans="1:11" ht="15" customHeight="1" x14ac:dyDescent="0.25">
      <c r="A41" s="296" t="s">
        <v>251</v>
      </c>
      <c r="B41" s="297"/>
      <c r="C41" s="297"/>
      <c r="D41" s="297"/>
      <c r="E41" s="297"/>
      <c r="F41" s="297"/>
      <c r="G41" s="297"/>
      <c r="H41" s="297"/>
      <c r="I41" s="297"/>
      <c r="J41" s="297"/>
      <c r="K41" s="297"/>
    </row>
    <row r="42" spans="1:11" x14ac:dyDescent="0.25">
      <c r="A42" s="40" t="s">
        <v>66</v>
      </c>
      <c r="B42" s="124">
        <f>+'DEMANDA SERV. DE SALUD CN PY'!G175</f>
        <v>292</v>
      </c>
      <c r="C42" s="124">
        <f>+'DEMANDA SERV. DE SALUD CN PY'!H175</f>
        <v>292</v>
      </c>
      <c r="D42" s="124">
        <f>+'DEMANDA SERV. DE SALUD CN PY'!I175</f>
        <v>292</v>
      </c>
      <c r="E42" s="124">
        <f>+'DEMANDA SERV. DE SALUD CN PY'!J175</f>
        <v>292</v>
      </c>
      <c r="F42" s="124">
        <f>+'DEMANDA SERV. DE SALUD CN PY'!K175</f>
        <v>292</v>
      </c>
      <c r="G42" s="124">
        <f>+'DEMANDA SERV. DE SALUD CN PY'!L175</f>
        <v>292</v>
      </c>
      <c r="H42" s="124">
        <f>+'DEMANDA SERV. DE SALUD CN PY'!M175</f>
        <v>292</v>
      </c>
      <c r="I42" s="124">
        <f>+'DEMANDA SERV. DE SALUD CN PY'!N175</f>
        <v>292</v>
      </c>
      <c r="J42" s="124">
        <f>+'DEMANDA SERV. DE SALUD CN PY'!O175</f>
        <v>292</v>
      </c>
      <c r="K42" s="124">
        <f>+'DEMANDA SERV. DE SALUD CN PY'!P175</f>
        <v>292</v>
      </c>
    </row>
    <row r="43" spans="1:11" x14ac:dyDescent="0.25">
      <c r="A43" s="57" t="s">
        <v>67</v>
      </c>
      <c r="B43" s="57">
        <v>0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</row>
    <row r="44" spans="1:11" x14ac:dyDescent="0.25">
      <c r="A44" s="58" t="s">
        <v>68</v>
      </c>
      <c r="B44" s="59">
        <f t="shared" ref="B44:K44" si="9">B43-B42</f>
        <v>-292</v>
      </c>
      <c r="C44" s="59">
        <f t="shared" si="9"/>
        <v>-292</v>
      </c>
      <c r="D44" s="59">
        <f t="shared" si="9"/>
        <v>-292</v>
      </c>
      <c r="E44" s="59">
        <f t="shared" si="9"/>
        <v>-292</v>
      </c>
      <c r="F44" s="59">
        <f t="shared" si="9"/>
        <v>-292</v>
      </c>
      <c r="G44" s="59">
        <f t="shared" si="9"/>
        <v>-292</v>
      </c>
      <c r="H44" s="59">
        <f t="shared" si="9"/>
        <v>-292</v>
      </c>
      <c r="I44" s="59">
        <f t="shared" si="9"/>
        <v>-292</v>
      </c>
      <c r="J44" s="59">
        <f t="shared" si="9"/>
        <v>-292</v>
      </c>
      <c r="K44" s="59">
        <f t="shared" si="9"/>
        <v>-292</v>
      </c>
    </row>
    <row r="45" spans="1:11" x14ac:dyDescent="0.25">
      <c r="A45" s="296" t="s">
        <v>252</v>
      </c>
      <c r="B45" s="297"/>
      <c r="C45" s="297"/>
      <c r="D45" s="297"/>
      <c r="E45" s="297"/>
      <c r="F45" s="297"/>
      <c r="G45" s="297"/>
      <c r="H45" s="297"/>
      <c r="I45" s="297"/>
      <c r="J45" s="297"/>
      <c r="K45" s="297"/>
    </row>
    <row r="46" spans="1:11" x14ac:dyDescent="0.25">
      <c r="A46" s="40" t="s">
        <v>66</v>
      </c>
      <c r="B46" s="124">
        <f>+'DEMANDA SERV. DE SALUD CN PY'!G190</f>
        <v>115</v>
      </c>
      <c r="C46" s="124">
        <f>+'DEMANDA SERV. DE SALUD CN PY'!H190</f>
        <v>115</v>
      </c>
      <c r="D46" s="124">
        <f>+'DEMANDA SERV. DE SALUD CN PY'!I190</f>
        <v>115</v>
      </c>
      <c r="E46" s="124">
        <f>+'DEMANDA SERV. DE SALUD CN PY'!J190</f>
        <v>115</v>
      </c>
      <c r="F46" s="124">
        <f>+'DEMANDA SERV. DE SALUD CN PY'!K190</f>
        <v>115</v>
      </c>
      <c r="G46" s="124">
        <f>+'DEMANDA SERV. DE SALUD CN PY'!L190</f>
        <v>115</v>
      </c>
      <c r="H46" s="124">
        <f>+'DEMANDA SERV. DE SALUD CN PY'!M190</f>
        <v>116</v>
      </c>
      <c r="I46" s="124">
        <f>+'DEMANDA SERV. DE SALUD CN PY'!N190</f>
        <v>116</v>
      </c>
      <c r="J46" s="124">
        <f>+'DEMANDA SERV. DE SALUD CN PY'!O190</f>
        <v>116</v>
      </c>
      <c r="K46" s="124">
        <f>+'DEMANDA SERV. DE SALUD CN PY'!P190</f>
        <v>116</v>
      </c>
    </row>
    <row r="47" spans="1:11" x14ac:dyDescent="0.25">
      <c r="A47" s="57" t="s">
        <v>67</v>
      </c>
      <c r="B47" s="57">
        <v>0</v>
      </c>
      <c r="C47" s="57">
        <v>0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</row>
    <row r="48" spans="1:11" x14ac:dyDescent="0.25">
      <c r="A48" s="58" t="s">
        <v>68</v>
      </c>
      <c r="B48" s="59">
        <f t="shared" ref="B48:K48" si="10">B47-B46</f>
        <v>-115</v>
      </c>
      <c r="C48" s="59">
        <f t="shared" si="10"/>
        <v>-115</v>
      </c>
      <c r="D48" s="59">
        <f t="shared" si="10"/>
        <v>-115</v>
      </c>
      <c r="E48" s="59">
        <f t="shared" si="10"/>
        <v>-115</v>
      </c>
      <c r="F48" s="59">
        <f t="shared" si="10"/>
        <v>-115</v>
      </c>
      <c r="G48" s="59">
        <f t="shared" si="10"/>
        <v>-115</v>
      </c>
      <c r="H48" s="59">
        <f t="shared" si="10"/>
        <v>-116</v>
      </c>
      <c r="I48" s="59">
        <f t="shared" si="10"/>
        <v>-116</v>
      </c>
      <c r="J48" s="59">
        <f t="shared" si="10"/>
        <v>-116</v>
      </c>
      <c r="K48" s="59">
        <f t="shared" si="10"/>
        <v>-116</v>
      </c>
    </row>
    <row r="49" spans="1:11" x14ac:dyDescent="0.25">
      <c r="A49" s="296" t="s">
        <v>210</v>
      </c>
      <c r="B49" s="297"/>
      <c r="C49" s="297"/>
      <c r="D49" s="297"/>
      <c r="E49" s="297"/>
      <c r="F49" s="297"/>
      <c r="G49" s="297"/>
      <c r="H49" s="297"/>
      <c r="I49" s="297"/>
      <c r="J49" s="297"/>
      <c r="K49" s="297"/>
    </row>
    <row r="50" spans="1:11" x14ac:dyDescent="0.25">
      <c r="A50" s="40" t="s">
        <v>66</v>
      </c>
      <c r="B50" s="124">
        <f>+'DEMANDA SERV. DE SALUD CN PY'!G201</f>
        <v>807</v>
      </c>
      <c r="C50" s="124">
        <f>+'DEMANDA SERV. DE SALUD CN PY'!H201</f>
        <v>807</v>
      </c>
      <c r="D50" s="124">
        <f>+'DEMANDA SERV. DE SALUD CN PY'!I201</f>
        <v>808</v>
      </c>
      <c r="E50" s="124">
        <f>+'DEMANDA SERV. DE SALUD CN PY'!J201</f>
        <v>808</v>
      </c>
      <c r="F50" s="124">
        <f>+'DEMANDA SERV. DE SALUD CN PY'!K201</f>
        <v>808</v>
      </c>
      <c r="G50" s="124">
        <f>+'DEMANDA SERV. DE SALUD CN PY'!L201</f>
        <v>808</v>
      </c>
      <c r="H50" s="124">
        <f>+'DEMANDA SERV. DE SALUD CN PY'!M201</f>
        <v>809</v>
      </c>
      <c r="I50" s="124">
        <f>+'DEMANDA SERV. DE SALUD CN PY'!N201</f>
        <v>809</v>
      </c>
      <c r="J50" s="124">
        <f>+'DEMANDA SERV. DE SALUD CN PY'!O201</f>
        <v>809</v>
      </c>
      <c r="K50" s="124">
        <f>+'DEMANDA SERV. DE SALUD CN PY'!P201</f>
        <v>809</v>
      </c>
    </row>
    <row r="51" spans="1:11" x14ac:dyDescent="0.25">
      <c r="A51" s="57" t="s">
        <v>67</v>
      </c>
      <c r="B51" s="57">
        <f>'OFERTA ACTUAL '!C41</f>
        <v>0</v>
      </c>
      <c r="C51" s="57">
        <f>'OFERTA ACTUAL '!D41</f>
        <v>0</v>
      </c>
      <c r="D51" s="57">
        <f>'OFERTA ACTUAL '!E41</f>
        <v>0</v>
      </c>
      <c r="E51" s="57">
        <f>'OFERTA ACTUAL '!F41</f>
        <v>0</v>
      </c>
      <c r="F51" s="57">
        <f>'OFERTA ACTUAL '!G41</f>
        <v>0</v>
      </c>
      <c r="G51" s="57">
        <f>'OFERTA ACTUAL '!H41</f>
        <v>0</v>
      </c>
      <c r="H51" s="57">
        <f>'OFERTA ACTUAL '!I41</f>
        <v>0</v>
      </c>
      <c r="I51" s="57">
        <f>'OFERTA ACTUAL '!J41</f>
        <v>0</v>
      </c>
      <c r="J51" s="57">
        <v>0</v>
      </c>
      <c r="K51" s="57">
        <v>0</v>
      </c>
    </row>
    <row r="52" spans="1:11" x14ac:dyDescent="0.25">
      <c r="A52" s="58" t="s">
        <v>68</v>
      </c>
      <c r="B52" s="145">
        <f t="shared" ref="B52:K52" si="11">B51-B50</f>
        <v>-807</v>
      </c>
      <c r="C52" s="145">
        <f t="shared" si="11"/>
        <v>-807</v>
      </c>
      <c r="D52" s="145">
        <f t="shared" si="11"/>
        <v>-808</v>
      </c>
      <c r="E52" s="145">
        <f t="shared" si="11"/>
        <v>-808</v>
      </c>
      <c r="F52" s="145">
        <f t="shared" si="11"/>
        <v>-808</v>
      </c>
      <c r="G52" s="145">
        <f t="shared" si="11"/>
        <v>-808</v>
      </c>
      <c r="H52" s="145">
        <f t="shared" si="11"/>
        <v>-809</v>
      </c>
      <c r="I52" s="145">
        <f t="shared" si="11"/>
        <v>-809</v>
      </c>
      <c r="J52" s="145">
        <f t="shared" si="11"/>
        <v>-809</v>
      </c>
      <c r="K52" s="145">
        <f t="shared" si="11"/>
        <v>-809</v>
      </c>
    </row>
    <row r="53" spans="1:11" x14ac:dyDescent="0.25">
      <c r="A53" s="296" t="s">
        <v>249</v>
      </c>
      <c r="B53" s="297"/>
      <c r="C53" s="297"/>
      <c r="D53" s="297"/>
      <c r="E53" s="297"/>
      <c r="F53" s="297"/>
      <c r="G53" s="297"/>
      <c r="H53" s="297"/>
      <c r="I53" s="297"/>
      <c r="J53" s="297"/>
      <c r="K53" s="297"/>
    </row>
    <row r="54" spans="1:11" x14ac:dyDescent="0.25">
      <c r="A54" s="40" t="s">
        <v>66</v>
      </c>
      <c r="B54" s="124">
        <f>+'DEMANDA SERV. DE SALUD CN PY'!G217</f>
        <v>292</v>
      </c>
      <c r="C54" s="124">
        <f>+'DEMANDA SERV. DE SALUD CN PY'!H217</f>
        <v>292</v>
      </c>
      <c r="D54" s="124">
        <f>+'DEMANDA SERV. DE SALUD CN PY'!I217</f>
        <v>292</v>
      </c>
      <c r="E54" s="124">
        <f>+'DEMANDA SERV. DE SALUD CN PY'!J217</f>
        <v>292</v>
      </c>
      <c r="F54" s="124">
        <f>+'DEMANDA SERV. DE SALUD CN PY'!K217</f>
        <v>292</v>
      </c>
      <c r="G54" s="124">
        <f>+'DEMANDA SERV. DE SALUD CN PY'!L217</f>
        <v>292</v>
      </c>
      <c r="H54" s="124">
        <f>+'DEMANDA SERV. DE SALUD CN PY'!M217</f>
        <v>292</v>
      </c>
      <c r="I54" s="124">
        <f>+'DEMANDA SERV. DE SALUD CN PY'!N217</f>
        <v>292</v>
      </c>
      <c r="J54" s="124">
        <f>+'DEMANDA SERV. DE SALUD CN PY'!O217</f>
        <v>292</v>
      </c>
      <c r="K54" s="124">
        <f>+'DEMANDA SERV. DE SALUD CN PY'!P217</f>
        <v>292</v>
      </c>
    </row>
    <row r="55" spans="1:11" x14ac:dyDescent="0.25">
      <c r="A55" s="57" t="s">
        <v>67</v>
      </c>
      <c r="B55" s="57">
        <f>'OFERTA ACTUAL '!C41</f>
        <v>0</v>
      </c>
      <c r="C55" s="57">
        <f>'OFERTA ACTUAL '!D41</f>
        <v>0</v>
      </c>
      <c r="D55" s="57">
        <f>'OFERTA ACTUAL '!E41</f>
        <v>0</v>
      </c>
      <c r="E55" s="57">
        <f>'OFERTA ACTUAL '!F41</f>
        <v>0</v>
      </c>
      <c r="F55" s="57">
        <f>'OFERTA ACTUAL '!G41</f>
        <v>0</v>
      </c>
      <c r="G55" s="57">
        <f>'OFERTA ACTUAL '!H41</f>
        <v>0</v>
      </c>
      <c r="H55" s="57">
        <f>'OFERTA ACTUAL '!I41</f>
        <v>0</v>
      </c>
      <c r="I55" s="57">
        <f>'OFERTA ACTUAL '!J41</f>
        <v>0</v>
      </c>
      <c r="J55" s="57">
        <v>0</v>
      </c>
      <c r="K55" s="57">
        <v>0</v>
      </c>
    </row>
    <row r="56" spans="1:11" x14ac:dyDescent="0.25">
      <c r="A56" s="58" t="s">
        <v>68</v>
      </c>
      <c r="B56" s="59">
        <f t="shared" ref="B56:K56" si="12">B55-B54</f>
        <v>-292</v>
      </c>
      <c r="C56" s="59">
        <f t="shared" si="12"/>
        <v>-292</v>
      </c>
      <c r="D56" s="59">
        <f t="shared" si="12"/>
        <v>-292</v>
      </c>
      <c r="E56" s="59">
        <f t="shared" si="12"/>
        <v>-292</v>
      </c>
      <c r="F56" s="59">
        <f t="shared" si="12"/>
        <v>-292</v>
      </c>
      <c r="G56" s="59">
        <f t="shared" si="12"/>
        <v>-292</v>
      </c>
      <c r="H56" s="59">
        <f t="shared" si="12"/>
        <v>-292</v>
      </c>
      <c r="I56" s="59">
        <f t="shared" si="12"/>
        <v>-292</v>
      </c>
      <c r="J56" s="59">
        <f t="shared" si="12"/>
        <v>-292</v>
      </c>
      <c r="K56" s="59">
        <f t="shared" si="12"/>
        <v>-292</v>
      </c>
    </row>
    <row r="57" spans="1:11" x14ac:dyDescent="0.25">
      <c r="A57" s="296" t="s">
        <v>253</v>
      </c>
      <c r="B57" s="297"/>
      <c r="C57" s="297"/>
      <c r="D57" s="297"/>
      <c r="E57" s="297"/>
      <c r="F57" s="297"/>
      <c r="G57" s="297"/>
      <c r="H57" s="297"/>
      <c r="I57" s="297"/>
      <c r="J57" s="297"/>
      <c r="K57" s="297"/>
    </row>
    <row r="58" spans="1:11" x14ac:dyDescent="0.25">
      <c r="A58" s="40" t="s">
        <v>66</v>
      </c>
      <c r="B58" s="124">
        <f>+'DEMANDA SERV. DE SALUD CN PY'!G232</f>
        <v>86</v>
      </c>
      <c r="C58" s="124">
        <f>+'DEMANDA SERV. DE SALUD CN PY'!H232</f>
        <v>87</v>
      </c>
      <c r="D58" s="124">
        <f>+'DEMANDA SERV. DE SALUD CN PY'!I232</f>
        <v>87</v>
      </c>
      <c r="E58" s="124">
        <f>+'DEMANDA SERV. DE SALUD CN PY'!J232</f>
        <v>87</v>
      </c>
      <c r="F58" s="124">
        <f>+'DEMANDA SERV. DE SALUD CN PY'!K232</f>
        <v>87</v>
      </c>
      <c r="G58" s="124">
        <f>+'DEMANDA SERV. DE SALUD CN PY'!L232</f>
        <v>87</v>
      </c>
      <c r="H58" s="124">
        <f>+'DEMANDA SERV. DE SALUD CN PY'!M232</f>
        <v>87</v>
      </c>
      <c r="I58" s="124">
        <f>+'DEMANDA SERV. DE SALUD CN PY'!N232</f>
        <v>87</v>
      </c>
      <c r="J58" s="124">
        <f>+'DEMANDA SERV. DE SALUD CN PY'!O232</f>
        <v>87</v>
      </c>
      <c r="K58" s="124">
        <f>+'DEMANDA SERV. DE SALUD CN PY'!P232</f>
        <v>87</v>
      </c>
    </row>
    <row r="59" spans="1:11" x14ac:dyDescent="0.25">
      <c r="A59" s="57" t="s">
        <v>67</v>
      </c>
      <c r="B59" s="57">
        <f>'OFERTA ACTUAL '!C45</f>
        <v>0</v>
      </c>
      <c r="C59" s="57">
        <f>'OFERTA ACTUAL '!D45</f>
        <v>0</v>
      </c>
      <c r="D59" s="57">
        <f>'OFERTA ACTUAL '!E45</f>
        <v>0</v>
      </c>
      <c r="E59" s="57">
        <f>'OFERTA ACTUAL '!F45</f>
        <v>0</v>
      </c>
      <c r="F59" s="57">
        <f>'OFERTA ACTUAL '!G45</f>
        <v>0</v>
      </c>
      <c r="G59" s="57">
        <f>'OFERTA ACTUAL '!H45</f>
        <v>0</v>
      </c>
      <c r="H59" s="57">
        <f>'OFERTA ACTUAL '!I45</f>
        <v>0</v>
      </c>
      <c r="I59" s="57">
        <f>'OFERTA ACTUAL '!J45</f>
        <v>0</v>
      </c>
      <c r="J59" s="57">
        <v>0</v>
      </c>
      <c r="K59" s="57">
        <v>0</v>
      </c>
    </row>
    <row r="60" spans="1:11" x14ac:dyDescent="0.25">
      <c r="A60" s="58" t="s">
        <v>68</v>
      </c>
      <c r="B60" s="59">
        <f t="shared" ref="B60:K60" si="13">B59-B58</f>
        <v>-86</v>
      </c>
      <c r="C60" s="59">
        <f t="shared" si="13"/>
        <v>-87</v>
      </c>
      <c r="D60" s="59">
        <f t="shared" si="13"/>
        <v>-87</v>
      </c>
      <c r="E60" s="59">
        <f t="shared" si="13"/>
        <v>-87</v>
      </c>
      <c r="F60" s="59">
        <f t="shared" si="13"/>
        <v>-87</v>
      </c>
      <c r="G60" s="59">
        <f t="shared" si="13"/>
        <v>-87</v>
      </c>
      <c r="H60" s="59">
        <f t="shared" si="13"/>
        <v>-87</v>
      </c>
      <c r="I60" s="59">
        <f t="shared" si="13"/>
        <v>-87</v>
      </c>
      <c r="J60" s="59">
        <f t="shared" si="13"/>
        <v>-87</v>
      </c>
      <c r="K60" s="59">
        <f t="shared" si="13"/>
        <v>-87</v>
      </c>
    </row>
    <row r="61" spans="1:11" x14ac:dyDescent="0.25">
      <c r="A61" s="296" t="s">
        <v>436</v>
      </c>
      <c r="B61" s="297"/>
      <c r="C61" s="297"/>
      <c r="D61" s="297"/>
      <c r="E61" s="297"/>
      <c r="F61" s="297"/>
      <c r="G61" s="297"/>
      <c r="H61" s="297"/>
      <c r="I61" s="297"/>
      <c r="J61" s="297"/>
      <c r="K61" s="297"/>
    </row>
    <row r="62" spans="1:11" x14ac:dyDescent="0.25">
      <c r="A62" s="40" t="s">
        <v>66</v>
      </c>
      <c r="B62" s="124">
        <f>+'DEMANDA SERV. DE SALUD CN PY'!G242</f>
        <v>314</v>
      </c>
      <c r="C62" s="124">
        <f>+'DEMANDA SERV. DE SALUD CN PY'!H242</f>
        <v>314</v>
      </c>
      <c r="D62" s="124">
        <f>+'DEMANDA SERV. DE SALUD CN PY'!I242</f>
        <v>314</v>
      </c>
      <c r="E62" s="124">
        <f>+'DEMANDA SERV. DE SALUD CN PY'!J242</f>
        <v>314</v>
      </c>
      <c r="F62" s="124">
        <f>+'DEMANDA SERV. DE SALUD CN PY'!K242</f>
        <v>314</v>
      </c>
      <c r="G62" s="124">
        <f>+'DEMANDA SERV. DE SALUD CN PY'!L242</f>
        <v>315</v>
      </c>
      <c r="H62" s="124">
        <f>+'DEMANDA SERV. DE SALUD CN PY'!M242</f>
        <v>315</v>
      </c>
      <c r="I62" s="124">
        <f>+'DEMANDA SERV. DE SALUD CN PY'!N242</f>
        <v>315</v>
      </c>
      <c r="J62" s="124">
        <f>+'DEMANDA SERV. DE SALUD CN PY'!O242</f>
        <v>315</v>
      </c>
      <c r="K62" s="124">
        <f>+'DEMANDA SERV. DE SALUD CN PY'!P242</f>
        <v>315</v>
      </c>
    </row>
    <row r="63" spans="1:11" x14ac:dyDescent="0.25">
      <c r="A63" s="57" t="s">
        <v>67</v>
      </c>
      <c r="B63" s="57">
        <f>'OFERTA ACTUAL '!C49</f>
        <v>0</v>
      </c>
      <c r="C63" s="57">
        <f>'OFERTA ACTUAL '!D49</f>
        <v>0</v>
      </c>
      <c r="D63" s="57">
        <f>'OFERTA ACTUAL '!E49</f>
        <v>0</v>
      </c>
      <c r="E63" s="57">
        <f>'OFERTA ACTUAL '!F49</f>
        <v>0</v>
      </c>
      <c r="F63" s="57">
        <f>'OFERTA ACTUAL '!G49</f>
        <v>0</v>
      </c>
      <c r="G63" s="57">
        <f>'OFERTA ACTUAL '!H49</f>
        <v>0</v>
      </c>
      <c r="H63" s="57">
        <f>'OFERTA ACTUAL '!I49</f>
        <v>0</v>
      </c>
      <c r="I63" s="57">
        <f>'OFERTA ACTUAL '!J49</f>
        <v>0</v>
      </c>
      <c r="J63" s="57">
        <v>0</v>
      </c>
      <c r="K63" s="57">
        <v>0</v>
      </c>
    </row>
    <row r="64" spans="1:11" x14ac:dyDescent="0.25">
      <c r="A64" s="58" t="s">
        <v>68</v>
      </c>
      <c r="B64" s="59">
        <f t="shared" ref="B64:K64" si="14">B63-B62</f>
        <v>-314</v>
      </c>
      <c r="C64" s="59">
        <f t="shared" si="14"/>
        <v>-314</v>
      </c>
      <c r="D64" s="59">
        <f t="shared" si="14"/>
        <v>-314</v>
      </c>
      <c r="E64" s="59">
        <f t="shared" si="14"/>
        <v>-314</v>
      </c>
      <c r="F64" s="59">
        <f t="shared" si="14"/>
        <v>-314</v>
      </c>
      <c r="G64" s="59">
        <f t="shared" si="14"/>
        <v>-315</v>
      </c>
      <c r="H64" s="59">
        <f t="shared" si="14"/>
        <v>-315</v>
      </c>
      <c r="I64" s="59">
        <f t="shared" si="14"/>
        <v>-315</v>
      </c>
      <c r="J64" s="59">
        <f t="shared" si="14"/>
        <v>-315</v>
      </c>
      <c r="K64" s="59">
        <f t="shared" si="14"/>
        <v>-315</v>
      </c>
    </row>
    <row r="65" spans="1:11" x14ac:dyDescent="0.25">
      <c r="A65" s="296" t="str">
        <f>+'DEMANDA SERV. DE SALUD CN PY'!C247</f>
        <v>PSICOLOGIA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</row>
    <row r="66" spans="1:11" x14ac:dyDescent="0.25">
      <c r="A66" s="40" t="s">
        <v>66</v>
      </c>
      <c r="B66" s="124">
        <f>+'DEMANDA SERV. DE SALUD CN PY'!G252</f>
        <v>675</v>
      </c>
      <c r="C66" s="124">
        <f>+'DEMANDA SERV. DE SALUD CN PY'!H252</f>
        <v>676</v>
      </c>
      <c r="D66" s="124">
        <f>+'DEMANDA SERV. DE SALUD CN PY'!I252</f>
        <v>676</v>
      </c>
      <c r="E66" s="124">
        <f>+'DEMANDA SERV. DE SALUD CN PY'!J252</f>
        <v>676</v>
      </c>
      <c r="F66" s="124">
        <f>+'DEMANDA SERV. DE SALUD CN PY'!K252</f>
        <v>676</v>
      </c>
      <c r="G66" s="124">
        <f>+'DEMANDA SERV. DE SALUD CN PY'!L252</f>
        <v>676</v>
      </c>
      <c r="H66" s="124">
        <f>+'DEMANDA SERV. DE SALUD CN PY'!M252</f>
        <v>677</v>
      </c>
      <c r="I66" s="124">
        <f>+'DEMANDA SERV. DE SALUD CN PY'!N252</f>
        <v>677</v>
      </c>
      <c r="J66" s="124">
        <f>+'DEMANDA SERV. DE SALUD CN PY'!O252</f>
        <v>677</v>
      </c>
      <c r="K66" s="124">
        <f>+'DEMANDA SERV. DE SALUD CN PY'!P252</f>
        <v>677</v>
      </c>
    </row>
    <row r="67" spans="1:11" x14ac:dyDescent="0.25">
      <c r="A67" s="57" t="s">
        <v>67</v>
      </c>
      <c r="B67" s="57">
        <f>'OFERTA ACTUAL '!C49</f>
        <v>0</v>
      </c>
      <c r="C67" s="57">
        <f>'OFERTA ACTUAL '!D49</f>
        <v>0</v>
      </c>
      <c r="D67" s="57">
        <f>'OFERTA ACTUAL '!E49</f>
        <v>0</v>
      </c>
      <c r="E67" s="57">
        <f>'OFERTA ACTUAL '!F49</f>
        <v>0</v>
      </c>
      <c r="F67" s="57">
        <f>'OFERTA ACTUAL '!G49</f>
        <v>0</v>
      </c>
      <c r="G67" s="57">
        <f>'OFERTA ACTUAL '!H49</f>
        <v>0</v>
      </c>
      <c r="H67" s="57">
        <f>'OFERTA ACTUAL '!I49</f>
        <v>0</v>
      </c>
      <c r="I67" s="57">
        <f>'OFERTA ACTUAL '!J49</f>
        <v>0</v>
      </c>
      <c r="J67" s="57">
        <v>0</v>
      </c>
      <c r="K67" s="57">
        <v>0</v>
      </c>
    </row>
    <row r="68" spans="1:11" x14ac:dyDescent="0.25">
      <c r="A68" s="58" t="s">
        <v>68</v>
      </c>
      <c r="B68" s="59">
        <f t="shared" ref="B68:K68" si="15">B67-B66</f>
        <v>-675</v>
      </c>
      <c r="C68" s="59">
        <f t="shared" si="15"/>
        <v>-676</v>
      </c>
      <c r="D68" s="59">
        <f t="shared" si="15"/>
        <v>-676</v>
      </c>
      <c r="E68" s="59">
        <f t="shared" si="15"/>
        <v>-676</v>
      </c>
      <c r="F68" s="59">
        <f t="shared" si="15"/>
        <v>-676</v>
      </c>
      <c r="G68" s="59">
        <f t="shared" si="15"/>
        <v>-676</v>
      </c>
      <c r="H68" s="59">
        <f t="shared" si="15"/>
        <v>-677</v>
      </c>
      <c r="I68" s="59">
        <f t="shared" si="15"/>
        <v>-677</v>
      </c>
      <c r="J68" s="59">
        <f t="shared" si="15"/>
        <v>-677</v>
      </c>
      <c r="K68" s="59">
        <f t="shared" si="15"/>
        <v>-677</v>
      </c>
    </row>
    <row r="69" spans="1:11" x14ac:dyDescent="0.25">
      <c r="A69" s="296" t="str">
        <f>+'DEMANDA SERV. DE SALUD CN PY'!C257</f>
        <v>URGENCIAS Y EMERGENCIAS</v>
      </c>
      <c r="B69" s="297"/>
      <c r="C69" s="297"/>
      <c r="D69" s="297"/>
      <c r="E69" s="297"/>
      <c r="F69" s="297"/>
      <c r="G69" s="297"/>
      <c r="H69" s="297"/>
      <c r="I69" s="297"/>
      <c r="J69" s="297"/>
      <c r="K69" s="297"/>
    </row>
    <row r="70" spans="1:11" x14ac:dyDescent="0.25">
      <c r="A70" s="40" t="s">
        <v>66</v>
      </c>
      <c r="B70" s="124">
        <f>+'DEMANDA SERV. DE SALUD CN PY'!G262</f>
        <v>171</v>
      </c>
      <c r="C70" s="124">
        <f>+'DEMANDA SERV. DE SALUD CN PY'!H262</f>
        <v>171</v>
      </c>
      <c r="D70" s="124">
        <f>+'DEMANDA SERV. DE SALUD CN PY'!I262</f>
        <v>171</v>
      </c>
      <c r="E70" s="124">
        <f>+'DEMANDA SERV. DE SALUD CN PY'!J262</f>
        <v>171</v>
      </c>
      <c r="F70" s="124">
        <f>+'DEMANDA SERV. DE SALUD CN PY'!K262</f>
        <v>171</v>
      </c>
      <c r="G70" s="124">
        <f>+'DEMANDA SERV. DE SALUD CN PY'!L262</f>
        <v>171</v>
      </c>
      <c r="H70" s="124">
        <f>+'DEMANDA SERV. DE SALUD CN PY'!M262</f>
        <v>171</v>
      </c>
      <c r="I70" s="124">
        <f>+'DEMANDA SERV. DE SALUD CN PY'!N262</f>
        <v>171</v>
      </c>
      <c r="J70" s="124">
        <f>+'DEMANDA SERV. DE SALUD CN PY'!O262</f>
        <v>171</v>
      </c>
      <c r="K70" s="124">
        <f>+'DEMANDA SERV. DE SALUD CN PY'!P262</f>
        <v>171</v>
      </c>
    </row>
    <row r="71" spans="1:11" x14ac:dyDescent="0.25">
      <c r="A71" s="57" t="s">
        <v>67</v>
      </c>
      <c r="B71" s="57">
        <f>'OFERTA ACTUAL '!C53</f>
        <v>0</v>
      </c>
      <c r="C71" s="57">
        <f>'OFERTA ACTUAL '!D53</f>
        <v>0</v>
      </c>
      <c r="D71" s="57">
        <f>'OFERTA ACTUAL '!E53</f>
        <v>0</v>
      </c>
      <c r="E71" s="57">
        <f>'OFERTA ACTUAL '!F53</f>
        <v>0</v>
      </c>
      <c r="F71" s="57">
        <f>'OFERTA ACTUAL '!G53</f>
        <v>0</v>
      </c>
      <c r="G71" s="57">
        <f>'OFERTA ACTUAL '!H53</f>
        <v>0</v>
      </c>
      <c r="H71" s="57">
        <f>'OFERTA ACTUAL '!I53</f>
        <v>0</v>
      </c>
      <c r="I71" s="57">
        <f>'OFERTA ACTUAL '!J53</f>
        <v>0</v>
      </c>
      <c r="J71" s="57">
        <v>0</v>
      </c>
      <c r="K71" s="57">
        <v>0</v>
      </c>
    </row>
    <row r="72" spans="1:11" x14ac:dyDescent="0.25">
      <c r="A72" s="58" t="s">
        <v>68</v>
      </c>
      <c r="B72" s="59">
        <f t="shared" ref="B72:K72" si="16">B71-B70</f>
        <v>-171</v>
      </c>
      <c r="C72" s="59">
        <f t="shared" si="16"/>
        <v>-171</v>
      </c>
      <c r="D72" s="59">
        <f t="shared" si="16"/>
        <v>-171</v>
      </c>
      <c r="E72" s="59">
        <f t="shared" si="16"/>
        <v>-171</v>
      </c>
      <c r="F72" s="59">
        <f t="shared" si="16"/>
        <v>-171</v>
      </c>
      <c r="G72" s="59">
        <f t="shared" si="16"/>
        <v>-171</v>
      </c>
      <c r="H72" s="59">
        <f t="shared" si="16"/>
        <v>-171</v>
      </c>
      <c r="I72" s="59">
        <f t="shared" si="16"/>
        <v>-171</v>
      </c>
      <c r="J72" s="59">
        <f t="shared" si="16"/>
        <v>-171</v>
      </c>
      <c r="K72" s="59">
        <f t="shared" si="16"/>
        <v>-171</v>
      </c>
    </row>
    <row r="73" spans="1:11" x14ac:dyDescent="0.25">
      <c r="A73" s="202" t="str">
        <f>+'DEMANDA SERV. DE SALUD CN PY'!C267</f>
        <v>EMERGENCIAS</v>
      </c>
      <c r="B73" s="203"/>
      <c r="C73" s="203"/>
      <c r="D73" s="203"/>
      <c r="E73" s="203"/>
      <c r="F73" s="203"/>
      <c r="G73" s="203"/>
      <c r="H73" s="203"/>
      <c r="I73" s="203"/>
      <c r="J73" s="203"/>
      <c r="K73" s="203"/>
    </row>
    <row r="74" spans="1:11" x14ac:dyDescent="0.25">
      <c r="A74" s="40" t="s">
        <v>66</v>
      </c>
      <c r="B74" s="124">
        <f>+'DEMANDA SERV. DE SALUD CN PY'!G273</f>
        <v>171</v>
      </c>
      <c r="C74" s="124">
        <f>+'DEMANDA SERV. DE SALUD CN PY'!H273</f>
        <v>171</v>
      </c>
      <c r="D74" s="124">
        <f>+'DEMANDA SERV. DE SALUD CN PY'!I273</f>
        <v>171</v>
      </c>
      <c r="E74" s="124">
        <f>+'DEMANDA SERV. DE SALUD CN PY'!J273</f>
        <v>171</v>
      </c>
      <c r="F74" s="124">
        <f>+'DEMANDA SERV. DE SALUD CN PY'!K273</f>
        <v>171</v>
      </c>
      <c r="G74" s="124">
        <f>+'DEMANDA SERV. DE SALUD CN PY'!L273</f>
        <v>171</v>
      </c>
      <c r="H74" s="124">
        <f>+'DEMANDA SERV. DE SALUD CN PY'!M273</f>
        <v>171</v>
      </c>
      <c r="I74" s="124">
        <f>+'DEMANDA SERV. DE SALUD CN PY'!N273</f>
        <v>171</v>
      </c>
      <c r="J74" s="124">
        <f>+'DEMANDA SERV. DE SALUD CN PY'!O273</f>
        <v>171</v>
      </c>
      <c r="K74" s="124">
        <f>+'DEMANDA SERV. DE SALUD CN PY'!P273</f>
        <v>171</v>
      </c>
    </row>
    <row r="75" spans="1:11" x14ac:dyDescent="0.25">
      <c r="A75" s="57" t="s">
        <v>67</v>
      </c>
      <c r="B75" s="57">
        <f>'OFERTA ACTUAL '!C45</f>
        <v>0</v>
      </c>
      <c r="C75" s="57">
        <f>'OFERTA ACTUAL '!D45</f>
        <v>0</v>
      </c>
      <c r="D75" s="57">
        <f>'OFERTA ACTUAL '!E45</f>
        <v>0</v>
      </c>
      <c r="E75" s="57">
        <f>'OFERTA ACTUAL '!F45</f>
        <v>0</v>
      </c>
      <c r="F75" s="57">
        <f>'OFERTA ACTUAL '!G45</f>
        <v>0</v>
      </c>
      <c r="G75" s="57">
        <f>'OFERTA ACTUAL '!H45</f>
        <v>0</v>
      </c>
      <c r="H75" s="57">
        <f>'OFERTA ACTUAL '!I45</f>
        <v>0</v>
      </c>
      <c r="I75" s="57">
        <f>'OFERTA ACTUAL '!J45</f>
        <v>0</v>
      </c>
      <c r="J75" s="57">
        <v>0</v>
      </c>
      <c r="K75" s="57">
        <v>0</v>
      </c>
    </row>
    <row r="76" spans="1:11" x14ac:dyDescent="0.25">
      <c r="A76" s="58" t="s">
        <v>68</v>
      </c>
      <c r="B76" s="59">
        <f t="shared" ref="B76:K76" si="17">B75-B74</f>
        <v>-171</v>
      </c>
      <c r="C76" s="59">
        <f t="shared" si="17"/>
        <v>-171</v>
      </c>
      <c r="D76" s="59">
        <f t="shared" si="17"/>
        <v>-171</v>
      </c>
      <c r="E76" s="59">
        <f t="shared" si="17"/>
        <v>-171</v>
      </c>
      <c r="F76" s="59">
        <f t="shared" si="17"/>
        <v>-171</v>
      </c>
      <c r="G76" s="59">
        <f t="shared" si="17"/>
        <v>-171</v>
      </c>
      <c r="H76" s="59">
        <f t="shared" si="17"/>
        <v>-171</v>
      </c>
      <c r="I76" s="59">
        <f t="shared" si="17"/>
        <v>-171</v>
      </c>
      <c r="J76" s="59">
        <f t="shared" si="17"/>
        <v>-171</v>
      </c>
      <c r="K76" s="59">
        <f t="shared" si="17"/>
        <v>-171</v>
      </c>
    </row>
    <row r="77" spans="1:11" x14ac:dyDescent="0.25">
      <c r="A77" s="202" t="str">
        <f>+'DEMANDA SERV. DE SALUD CN PY'!C278</f>
        <v xml:space="preserve">LABORATORIO </v>
      </c>
      <c r="B77" s="203"/>
      <c r="C77" s="203"/>
      <c r="D77" s="203"/>
      <c r="E77" s="203"/>
      <c r="F77" s="203"/>
      <c r="G77" s="203"/>
      <c r="H77" s="203"/>
      <c r="I77" s="203"/>
      <c r="J77" s="203"/>
      <c r="K77" s="203"/>
    </row>
    <row r="78" spans="1:11" x14ac:dyDescent="0.25">
      <c r="A78" s="40" t="s">
        <v>66</v>
      </c>
      <c r="B78" s="124">
        <f>+'DEMANDA SERV. DE SALUD CN PY'!G283</f>
        <v>853</v>
      </c>
      <c r="C78" s="124">
        <f>+'DEMANDA SERV. DE SALUD CN PY'!H283</f>
        <v>853</v>
      </c>
      <c r="D78" s="124">
        <f>+'DEMANDA SERV. DE SALUD CN PY'!I283</f>
        <v>853</v>
      </c>
      <c r="E78" s="124">
        <f>+'DEMANDA SERV. DE SALUD CN PY'!J283</f>
        <v>853</v>
      </c>
      <c r="F78" s="124">
        <f>+'DEMANDA SERV. DE SALUD CN PY'!K283</f>
        <v>854</v>
      </c>
      <c r="G78" s="124">
        <f>+'DEMANDA SERV. DE SALUD CN PY'!L283</f>
        <v>854</v>
      </c>
      <c r="H78" s="124">
        <f>+'DEMANDA SERV. DE SALUD CN PY'!M283</f>
        <v>854</v>
      </c>
      <c r="I78" s="124">
        <f>+'DEMANDA SERV. DE SALUD CN PY'!N283</f>
        <v>854</v>
      </c>
      <c r="J78" s="124">
        <f>+'DEMANDA SERV. DE SALUD CN PY'!O283</f>
        <v>855</v>
      </c>
      <c r="K78" s="124">
        <f>+'DEMANDA SERV. DE SALUD CN PY'!P283</f>
        <v>855</v>
      </c>
    </row>
    <row r="79" spans="1:11" x14ac:dyDescent="0.25">
      <c r="A79" s="57" t="s">
        <v>67</v>
      </c>
      <c r="B79" s="57">
        <f>'OFERTA ACTUAL '!C49</f>
        <v>0</v>
      </c>
      <c r="C79" s="57">
        <f>'OFERTA ACTUAL '!D49</f>
        <v>0</v>
      </c>
      <c r="D79" s="57">
        <f>'OFERTA ACTUAL '!E49</f>
        <v>0</v>
      </c>
      <c r="E79" s="57">
        <f>'OFERTA ACTUAL '!F49</f>
        <v>0</v>
      </c>
      <c r="F79" s="57">
        <f>'OFERTA ACTUAL '!G49</f>
        <v>0</v>
      </c>
      <c r="G79" s="57">
        <f>'OFERTA ACTUAL '!H49</f>
        <v>0</v>
      </c>
      <c r="H79" s="57">
        <f>'OFERTA ACTUAL '!I49</f>
        <v>0</v>
      </c>
      <c r="I79" s="57">
        <f>'OFERTA ACTUAL '!J49</f>
        <v>0</v>
      </c>
      <c r="J79" s="57">
        <v>0</v>
      </c>
      <c r="K79" s="57">
        <v>0</v>
      </c>
    </row>
    <row r="80" spans="1:11" x14ac:dyDescent="0.25">
      <c r="A80" s="58" t="s">
        <v>68</v>
      </c>
      <c r="B80" s="59">
        <f t="shared" ref="B80:K80" si="18">B79-B78</f>
        <v>-853</v>
      </c>
      <c r="C80" s="59">
        <f t="shared" si="18"/>
        <v>-853</v>
      </c>
      <c r="D80" s="59">
        <f t="shared" si="18"/>
        <v>-853</v>
      </c>
      <c r="E80" s="59">
        <f t="shared" si="18"/>
        <v>-853</v>
      </c>
      <c r="F80" s="59">
        <f t="shared" si="18"/>
        <v>-854</v>
      </c>
      <c r="G80" s="59">
        <f t="shared" si="18"/>
        <v>-854</v>
      </c>
      <c r="H80" s="59">
        <f t="shared" si="18"/>
        <v>-854</v>
      </c>
      <c r="I80" s="59">
        <f t="shared" si="18"/>
        <v>-854</v>
      </c>
      <c r="J80" s="59">
        <f t="shared" si="18"/>
        <v>-855</v>
      </c>
      <c r="K80" s="59">
        <f t="shared" si="18"/>
        <v>-855</v>
      </c>
    </row>
    <row r="81" spans="1:11" x14ac:dyDescent="0.25">
      <c r="A81" s="202" t="str">
        <f>+'DEMANDA SERV. DE SALUD CN PY'!C293</f>
        <v>ECOGRAFIA</v>
      </c>
      <c r="B81" s="203"/>
      <c r="C81" s="203"/>
      <c r="D81" s="203"/>
      <c r="E81" s="203"/>
      <c r="F81" s="203"/>
      <c r="G81" s="203"/>
      <c r="H81" s="203"/>
      <c r="I81" s="203"/>
      <c r="J81" s="203"/>
      <c r="K81" s="203"/>
    </row>
    <row r="82" spans="1:11" x14ac:dyDescent="0.25">
      <c r="A82" s="40" t="s">
        <v>66</v>
      </c>
      <c r="B82" s="124">
        <f>+'DEMANDA SERV. DE SALUD CN PY'!G293</f>
        <v>341</v>
      </c>
      <c r="C82" s="124">
        <f>+'DEMANDA SERV. DE SALUD CN PY'!H293</f>
        <v>341</v>
      </c>
      <c r="D82" s="124">
        <f>+'DEMANDA SERV. DE SALUD CN PY'!I293</f>
        <v>341</v>
      </c>
      <c r="E82" s="124">
        <f>+'DEMANDA SERV. DE SALUD CN PY'!J293</f>
        <v>341</v>
      </c>
      <c r="F82" s="124">
        <f>+'DEMANDA SERV. DE SALUD CN PY'!K293</f>
        <v>341</v>
      </c>
      <c r="G82" s="124">
        <f>+'DEMANDA SERV. DE SALUD CN PY'!L293</f>
        <v>342</v>
      </c>
      <c r="H82" s="124">
        <f>+'DEMANDA SERV. DE SALUD CN PY'!M293</f>
        <v>342</v>
      </c>
      <c r="I82" s="124">
        <f>+'DEMANDA SERV. DE SALUD CN PY'!N293</f>
        <v>342</v>
      </c>
      <c r="J82" s="124">
        <f>+'DEMANDA SERV. DE SALUD CN PY'!O293</f>
        <v>342</v>
      </c>
      <c r="K82" s="124">
        <f>+'DEMANDA SERV. DE SALUD CN PY'!P293</f>
        <v>342</v>
      </c>
    </row>
    <row r="83" spans="1:11" x14ac:dyDescent="0.25">
      <c r="A83" s="57" t="s">
        <v>67</v>
      </c>
      <c r="B83" s="57">
        <f>'OFERTA ACTUAL '!C53</f>
        <v>0</v>
      </c>
      <c r="C83" s="57">
        <f>'OFERTA ACTUAL '!D53</f>
        <v>0</v>
      </c>
      <c r="D83" s="57">
        <f>'OFERTA ACTUAL '!E53</f>
        <v>0</v>
      </c>
      <c r="E83" s="57">
        <f>'OFERTA ACTUAL '!F53</f>
        <v>0</v>
      </c>
      <c r="F83" s="57">
        <f>'OFERTA ACTUAL '!G53</f>
        <v>0</v>
      </c>
      <c r="G83" s="57">
        <f>'OFERTA ACTUAL '!H53</f>
        <v>0</v>
      </c>
      <c r="H83" s="57">
        <f>'OFERTA ACTUAL '!I53</f>
        <v>0</v>
      </c>
      <c r="I83" s="57">
        <f>'OFERTA ACTUAL '!J53</f>
        <v>0</v>
      </c>
      <c r="J83" s="57">
        <v>0</v>
      </c>
      <c r="K83" s="57">
        <v>0</v>
      </c>
    </row>
    <row r="84" spans="1:11" x14ac:dyDescent="0.25">
      <c r="A84" s="58" t="s">
        <v>68</v>
      </c>
      <c r="B84" s="59">
        <f t="shared" ref="B84:K84" si="19">B83-B82</f>
        <v>-341</v>
      </c>
      <c r="C84" s="59">
        <f t="shared" si="19"/>
        <v>-341</v>
      </c>
      <c r="D84" s="59">
        <f t="shared" si="19"/>
        <v>-341</v>
      </c>
      <c r="E84" s="59">
        <f t="shared" si="19"/>
        <v>-341</v>
      </c>
      <c r="F84" s="59">
        <f t="shared" si="19"/>
        <v>-341</v>
      </c>
      <c r="G84" s="59">
        <f t="shared" si="19"/>
        <v>-342</v>
      </c>
      <c r="H84" s="59">
        <f t="shared" si="19"/>
        <v>-342</v>
      </c>
      <c r="I84" s="59">
        <f t="shared" si="19"/>
        <v>-342</v>
      </c>
      <c r="J84" s="59">
        <f t="shared" si="19"/>
        <v>-342</v>
      </c>
      <c r="K84" s="59">
        <f t="shared" si="19"/>
        <v>-342</v>
      </c>
    </row>
    <row r="85" spans="1:11" x14ac:dyDescent="0.25">
      <c r="A85" s="202" t="str">
        <f>+'DEMANDA SERV. DE SALUD CN PY'!C298</f>
        <v>RADIOGRAFIA</v>
      </c>
      <c r="B85" s="203"/>
      <c r="C85" s="203"/>
      <c r="D85" s="203"/>
      <c r="E85" s="203"/>
      <c r="F85" s="203"/>
      <c r="G85" s="203"/>
      <c r="H85" s="203"/>
      <c r="I85" s="203"/>
      <c r="J85" s="203"/>
      <c r="K85" s="203"/>
    </row>
    <row r="86" spans="1:11" x14ac:dyDescent="0.25">
      <c r="A86" s="40" t="s">
        <v>66</v>
      </c>
      <c r="B86" s="124">
        <f>+'DEMANDA SERV. DE SALUD CN PY'!G303</f>
        <v>341</v>
      </c>
      <c r="C86" s="124">
        <f>+'DEMANDA SERV. DE SALUD CN PY'!H303</f>
        <v>341</v>
      </c>
      <c r="D86" s="124">
        <f>+'DEMANDA SERV. DE SALUD CN PY'!I303</f>
        <v>341</v>
      </c>
      <c r="E86" s="124">
        <f>+'DEMANDA SERV. DE SALUD CN PY'!J303</f>
        <v>341</v>
      </c>
      <c r="F86" s="124">
        <f>+'DEMANDA SERV. DE SALUD CN PY'!K303</f>
        <v>341</v>
      </c>
      <c r="G86" s="124">
        <f>+'DEMANDA SERV. DE SALUD CN PY'!L303</f>
        <v>342</v>
      </c>
      <c r="H86" s="124">
        <f>+'DEMANDA SERV. DE SALUD CN PY'!M303</f>
        <v>342</v>
      </c>
      <c r="I86" s="124">
        <f>+'DEMANDA SERV. DE SALUD CN PY'!N303</f>
        <v>342</v>
      </c>
      <c r="J86" s="124">
        <f>+'DEMANDA SERV. DE SALUD CN PY'!O303</f>
        <v>342</v>
      </c>
      <c r="K86" s="124">
        <f>+'DEMANDA SERV. DE SALUD CN PY'!P303</f>
        <v>342</v>
      </c>
    </row>
    <row r="87" spans="1:11" x14ac:dyDescent="0.25">
      <c r="A87" s="57" t="s">
        <v>67</v>
      </c>
      <c r="B87" s="57">
        <f>'OFERTA ACTUAL '!C57</f>
        <v>0</v>
      </c>
      <c r="C87" s="57">
        <f>'OFERTA ACTUAL '!D57</f>
        <v>0</v>
      </c>
      <c r="D87" s="57">
        <f>'OFERTA ACTUAL '!E57</f>
        <v>0</v>
      </c>
      <c r="E87" s="57">
        <f>'OFERTA ACTUAL '!F57</f>
        <v>0</v>
      </c>
      <c r="F87" s="57">
        <f>'OFERTA ACTUAL '!G57</f>
        <v>0</v>
      </c>
      <c r="G87" s="57">
        <f>'OFERTA ACTUAL '!H57</f>
        <v>0</v>
      </c>
      <c r="H87" s="57">
        <f>'OFERTA ACTUAL '!I57</f>
        <v>0</v>
      </c>
      <c r="I87" s="57">
        <f>'OFERTA ACTUAL '!J57</f>
        <v>0</v>
      </c>
      <c r="J87" s="57">
        <v>0</v>
      </c>
      <c r="K87" s="57">
        <v>0</v>
      </c>
    </row>
    <row r="88" spans="1:11" x14ac:dyDescent="0.25">
      <c r="A88" s="58" t="s">
        <v>68</v>
      </c>
      <c r="B88" s="59">
        <f t="shared" ref="B88:K88" si="20">B87-B86</f>
        <v>-341</v>
      </c>
      <c r="C88" s="59">
        <f t="shared" si="20"/>
        <v>-341</v>
      </c>
      <c r="D88" s="59">
        <f t="shared" si="20"/>
        <v>-341</v>
      </c>
      <c r="E88" s="59">
        <f t="shared" si="20"/>
        <v>-341</v>
      </c>
      <c r="F88" s="59">
        <f t="shared" si="20"/>
        <v>-341</v>
      </c>
      <c r="G88" s="59">
        <f t="shared" si="20"/>
        <v>-342</v>
      </c>
      <c r="H88" s="59">
        <f t="shared" si="20"/>
        <v>-342</v>
      </c>
      <c r="I88" s="59">
        <f t="shared" si="20"/>
        <v>-342</v>
      </c>
      <c r="J88" s="59">
        <f t="shared" si="20"/>
        <v>-342</v>
      </c>
      <c r="K88" s="59">
        <f t="shared" si="20"/>
        <v>-342</v>
      </c>
    </row>
  </sheetData>
  <mergeCells count="21">
    <mergeCell ref="A69:K69"/>
    <mergeCell ref="A65:K65"/>
    <mergeCell ref="A57:K57"/>
    <mergeCell ref="A9:K9"/>
    <mergeCell ref="A5:K5"/>
    <mergeCell ref="A53:K53"/>
    <mergeCell ref="A61:K61"/>
    <mergeCell ref="A37:K37"/>
    <mergeCell ref="A41:K41"/>
    <mergeCell ref="A45:K45"/>
    <mergeCell ref="A49:K49"/>
    <mergeCell ref="A17:K17"/>
    <mergeCell ref="A21:K21"/>
    <mergeCell ref="A25:K25"/>
    <mergeCell ref="A29:K29"/>
    <mergeCell ref="A33:K33"/>
    <mergeCell ref="A4:K4"/>
    <mergeCell ref="A1:K1"/>
    <mergeCell ref="A2:A3"/>
    <mergeCell ref="B2:K2"/>
    <mergeCell ref="A13:K1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56"/>
  <sheetViews>
    <sheetView tabSelected="1" topLeftCell="A25" workbookViewId="0">
      <selection activeCell="A30" sqref="A30"/>
    </sheetView>
  </sheetViews>
  <sheetFormatPr baseColWidth="10" defaultRowHeight="15" x14ac:dyDescent="0.25"/>
  <cols>
    <col min="1" max="1" width="21" customWidth="1"/>
    <col min="2" max="2" width="39" customWidth="1"/>
    <col min="3" max="3" width="17" customWidth="1"/>
    <col min="4" max="4" width="16" customWidth="1"/>
    <col min="5" max="12" width="17.7109375" customWidth="1"/>
    <col min="14" max="14" width="15" bestFit="1" customWidth="1"/>
    <col min="16" max="17" width="15" bestFit="1" customWidth="1"/>
  </cols>
  <sheetData>
    <row r="1" spans="1:22" ht="36" customHeight="1" thickBot="1" x14ac:dyDescent="0.3">
      <c r="A1" s="302" t="s">
        <v>454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</row>
    <row r="2" spans="1:22" ht="25.5" customHeight="1" thickTop="1" x14ac:dyDescent="0.25">
      <c r="A2" s="303" t="s">
        <v>270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N2">
        <v>0.117032698501531</v>
      </c>
      <c r="O2">
        <f>2170922.69/21709226.93</f>
        <v>9.9999999861809907E-2</v>
      </c>
    </row>
    <row r="3" spans="1:22" ht="25.5" customHeight="1" x14ac:dyDescent="0.25">
      <c r="A3" s="300" t="s">
        <v>70</v>
      </c>
      <c r="B3" s="300" t="s">
        <v>71</v>
      </c>
      <c r="C3" s="300" t="s">
        <v>293</v>
      </c>
      <c r="D3" s="307" t="s">
        <v>294</v>
      </c>
      <c r="E3" s="307"/>
      <c r="F3" s="300" t="s">
        <v>295</v>
      </c>
      <c r="G3" s="300" t="s">
        <v>296</v>
      </c>
      <c r="H3" s="300" t="s">
        <v>306</v>
      </c>
      <c r="I3" s="151" t="s">
        <v>308</v>
      </c>
      <c r="J3" s="151" t="s">
        <v>307</v>
      </c>
      <c r="K3" s="151" t="s">
        <v>309</v>
      </c>
      <c r="L3" s="300" t="s">
        <v>72</v>
      </c>
      <c r="N3">
        <f>2540689.41/21709226.93</f>
        <v>0.11703269850153067</v>
      </c>
      <c r="O3">
        <v>9.9999999861809893E-2</v>
      </c>
    </row>
    <row r="4" spans="1:22" ht="28.5" customHeight="1" x14ac:dyDescent="0.25">
      <c r="A4" s="301"/>
      <c r="B4" s="301"/>
      <c r="C4" s="301"/>
      <c r="D4" s="62" t="s">
        <v>295</v>
      </c>
      <c r="E4" s="62" t="s">
        <v>296</v>
      </c>
      <c r="F4" s="301"/>
      <c r="G4" s="301"/>
      <c r="H4" s="301"/>
      <c r="I4" s="157">
        <v>0.117032698501531</v>
      </c>
      <c r="J4" s="157">
        <v>9.9999999861809893E-2</v>
      </c>
      <c r="K4" s="156">
        <v>0.18</v>
      </c>
      <c r="L4" s="301"/>
      <c r="M4" s="137"/>
      <c r="N4" s="137"/>
    </row>
    <row r="5" spans="1:22" ht="27" customHeight="1" x14ac:dyDescent="0.25">
      <c r="A5" s="304" t="s">
        <v>455</v>
      </c>
      <c r="B5" s="63" t="s">
        <v>297</v>
      </c>
      <c r="C5" s="150" t="s">
        <v>298</v>
      </c>
      <c r="D5" s="150" t="s">
        <v>299</v>
      </c>
      <c r="E5" s="150">
        <v>1</v>
      </c>
      <c r="F5" s="150" t="s">
        <v>300</v>
      </c>
      <c r="G5" s="152">
        <v>18</v>
      </c>
      <c r="H5" s="155">
        <v>187622.90669752637</v>
      </c>
      <c r="I5" s="155">
        <f>+H5*$I$4</f>
        <v>21958.015071512484</v>
      </c>
      <c r="J5" s="155">
        <f>+H5*$J$4</f>
        <v>18762.290643825007</v>
      </c>
      <c r="K5" s="155">
        <f>+(H5+I5+J5)*$K$4</f>
        <v>41101.77823431549</v>
      </c>
      <c r="L5" s="155">
        <f>+H5+I5+J5+K5</f>
        <v>269444.99064717937</v>
      </c>
      <c r="M5" s="137"/>
      <c r="N5" s="137">
        <f>+SUM(G5:G28)</f>
        <v>1659.1200000000001</v>
      </c>
      <c r="O5">
        <f>+N31/N5</f>
        <v>15719.622697759627</v>
      </c>
    </row>
    <row r="6" spans="1:22" x14ac:dyDescent="0.25">
      <c r="A6" s="305"/>
      <c r="B6" s="63" t="s">
        <v>275</v>
      </c>
      <c r="C6" s="150" t="s">
        <v>298</v>
      </c>
      <c r="D6" s="150" t="s">
        <v>299</v>
      </c>
      <c r="E6" s="150">
        <v>1</v>
      </c>
      <c r="F6" s="150" t="s">
        <v>300</v>
      </c>
      <c r="G6" s="152">
        <v>17.16</v>
      </c>
      <c r="H6" s="155">
        <v>178867.17105164181</v>
      </c>
      <c r="I6" s="155">
        <f t="shared" ref="I6:I30" si="0">+H6*$I$4</f>
        <v>20933.307701508569</v>
      </c>
      <c r="J6" s="155">
        <f t="shared" ref="J6:J30" si="1">+H6*$J$4</f>
        <v>17886.717080446506</v>
      </c>
      <c r="K6" s="155">
        <f t="shared" ref="K6:K30" si="2">+(H6+I6+J6)*$K$4</f>
        <v>39183.695250047436</v>
      </c>
      <c r="L6" s="155">
        <f t="shared" ref="L6:L30" si="3">+H6+I6+J6+K6</f>
        <v>256870.89108364432</v>
      </c>
      <c r="M6" s="153">
        <f>+G5/$N$5</f>
        <v>1.0849124837263127E-2</v>
      </c>
      <c r="N6">
        <f>+M6*$N$31</f>
        <v>282953.20855967328</v>
      </c>
      <c r="O6">
        <v>187622.90669752637</v>
      </c>
      <c r="P6" s="138"/>
    </row>
    <row r="7" spans="1:22" ht="26.25" customHeight="1" x14ac:dyDescent="0.25">
      <c r="A7" s="305"/>
      <c r="B7" s="63" t="s">
        <v>276</v>
      </c>
      <c r="C7" s="150" t="s">
        <v>298</v>
      </c>
      <c r="D7" s="150" t="s">
        <v>299</v>
      </c>
      <c r="E7" s="150">
        <v>1</v>
      </c>
      <c r="F7" s="150" t="s">
        <v>300</v>
      </c>
      <c r="G7" s="152">
        <v>19.43</v>
      </c>
      <c r="H7" s="155">
        <v>202528.50428516319</v>
      </c>
      <c r="I7" s="155">
        <f t="shared" si="0"/>
        <v>23702.457379971533</v>
      </c>
      <c r="J7" s="155">
        <f t="shared" si="1"/>
        <v>20252.850400528881</v>
      </c>
      <c r="K7" s="155">
        <f t="shared" si="2"/>
        <v>44367.08617181945</v>
      </c>
      <c r="L7" s="155">
        <f t="shared" si="3"/>
        <v>290850.89823748305</v>
      </c>
      <c r="M7" s="153">
        <f t="shared" ref="M7:M28" si="4">+G6/$N$5</f>
        <v>1.0342832344857514E-2</v>
      </c>
      <c r="N7">
        <f t="shared" ref="N7:O30" si="5">+M7*$N$31</f>
        <v>269748.72549355519</v>
      </c>
      <c r="O7">
        <v>178867.17105164181</v>
      </c>
      <c r="P7" s="137"/>
      <c r="Q7" s="137"/>
      <c r="R7" s="137"/>
      <c r="S7" s="137"/>
    </row>
    <row r="8" spans="1:22" ht="25.5" x14ac:dyDescent="0.25">
      <c r="A8" s="305"/>
      <c r="B8" s="63" t="s">
        <v>301</v>
      </c>
      <c r="C8" s="150" t="s">
        <v>298</v>
      </c>
      <c r="D8" s="150" t="s">
        <v>299</v>
      </c>
      <c r="E8" s="150">
        <v>2</v>
      </c>
      <c r="F8" s="150" t="s">
        <v>300</v>
      </c>
      <c r="G8" s="152">
        <f>18.78+24.62</f>
        <v>43.400000000000006</v>
      </c>
      <c r="H8" s="155">
        <v>452379.67503736919</v>
      </c>
      <c r="I8" s="155">
        <f t="shared" si="0"/>
        <v>52943.214116869</v>
      </c>
      <c r="J8" s="155">
        <f t="shared" si="1"/>
        <v>45237.967441222521</v>
      </c>
      <c r="K8" s="155">
        <f t="shared" si="2"/>
        <v>99100.954187182913</v>
      </c>
      <c r="L8" s="155">
        <f t="shared" si="3"/>
        <v>649661.81078264362</v>
      </c>
      <c r="M8" s="153">
        <f t="shared" si="4"/>
        <v>1.1711027532667919E-2</v>
      </c>
      <c r="N8">
        <f t="shared" si="5"/>
        <v>305432.26901746955</v>
      </c>
      <c r="O8">
        <v>202528.50428516319</v>
      </c>
      <c r="Q8" s="137"/>
      <c r="R8" s="137"/>
      <c r="S8" s="137"/>
      <c r="T8" s="137"/>
      <c r="V8" s="137"/>
    </row>
    <row r="9" spans="1:22" x14ac:dyDescent="0.25">
      <c r="A9" s="305"/>
      <c r="B9" s="63" t="s">
        <v>274</v>
      </c>
      <c r="C9" s="150" t="s">
        <v>298</v>
      </c>
      <c r="D9" s="150" t="s">
        <v>299</v>
      </c>
      <c r="E9" s="150">
        <v>1</v>
      </c>
      <c r="F9" s="150" t="s">
        <v>300</v>
      </c>
      <c r="G9" s="152">
        <f>17.73+26.11+18.69+35.84</f>
        <v>98.37</v>
      </c>
      <c r="H9" s="155">
        <v>1025359.1851019817</v>
      </c>
      <c r="I9" s="155">
        <f t="shared" si="0"/>
        <v>120000.55236581575</v>
      </c>
      <c r="J9" s="155">
        <f t="shared" si="1"/>
        <v>102535.91836850368</v>
      </c>
      <c r="K9" s="155">
        <f t="shared" si="2"/>
        <v>224621.2180505342</v>
      </c>
      <c r="L9" s="155">
        <f t="shared" si="3"/>
        <v>1472516.8738868353</v>
      </c>
      <c r="M9" s="153">
        <f t="shared" si="4"/>
        <v>2.6158445440956652E-2</v>
      </c>
      <c r="N9">
        <f t="shared" si="5"/>
        <v>682231.6250827678</v>
      </c>
      <c r="O9">
        <v>452379.67503736919</v>
      </c>
      <c r="P9" s="137"/>
      <c r="Q9" s="137"/>
      <c r="R9" s="137"/>
      <c r="S9" s="137"/>
      <c r="T9" s="137"/>
    </row>
    <row r="10" spans="1:22" ht="20.25" customHeight="1" x14ac:dyDescent="0.25">
      <c r="A10" s="305"/>
      <c r="B10" s="63" t="s">
        <v>286</v>
      </c>
      <c r="C10" s="150" t="s">
        <v>298</v>
      </c>
      <c r="D10" s="150" t="s">
        <v>299</v>
      </c>
      <c r="E10" s="150">
        <v>1</v>
      </c>
      <c r="F10" s="150" t="s">
        <v>300</v>
      </c>
      <c r="G10" s="152">
        <f>91.6+126.97+8.93+30.66</f>
        <v>258.16000000000003</v>
      </c>
      <c r="H10" s="155">
        <v>2690929.4218351897</v>
      </c>
      <c r="I10" s="155">
        <f t="shared" si="0"/>
        <v>314926.7317145369</v>
      </c>
      <c r="J10" s="155">
        <f t="shared" si="1"/>
        <v>269092.94181165914</v>
      </c>
      <c r="K10" s="155">
        <f t="shared" si="2"/>
        <v>589490.83716504939</v>
      </c>
      <c r="L10" s="155">
        <f t="shared" si="3"/>
        <v>3864439.9325264348</v>
      </c>
      <c r="M10" s="153">
        <f t="shared" si="4"/>
        <v>5.9290467235642991E-2</v>
      </c>
      <c r="N10">
        <f t="shared" si="5"/>
        <v>1546339.2847786145</v>
      </c>
      <c r="O10">
        <v>1025359.1851019817</v>
      </c>
      <c r="P10" s="137"/>
      <c r="Q10" s="137"/>
      <c r="R10" s="137"/>
      <c r="S10" s="137"/>
      <c r="T10" s="137"/>
    </row>
    <row r="11" spans="1:22" ht="20.25" customHeight="1" x14ac:dyDescent="0.25">
      <c r="A11" s="305"/>
      <c r="B11" s="63" t="s">
        <v>287</v>
      </c>
      <c r="C11" s="150" t="s">
        <v>298</v>
      </c>
      <c r="D11" s="150" t="s">
        <v>299</v>
      </c>
      <c r="E11" s="150">
        <v>1</v>
      </c>
      <c r="F11" s="150" t="s">
        <v>300</v>
      </c>
      <c r="G11" s="152">
        <f>10.04+24.05+30.21+37.97+5.13+2.69+4.9+9.86+11.13+4.56+15.38+14.74+7.23+6.86+9.11+7.44+6.5</f>
        <v>207.8</v>
      </c>
      <c r="H11" s="155">
        <v>2166002.2228747765</v>
      </c>
      <c r="I11" s="155">
        <f t="shared" si="0"/>
        <v>253493.08510334967</v>
      </c>
      <c r="J11" s="155">
        <f t="shared" si="1"/>
        <v>216600.22198815757</v>
      </c>
      <c r="K11" s="155">
        <f t="shared" si="2"/>
        <v>474497.195393931</v>
      </c>
      <c r="L11" s="155">
        <f t="shared" si="3"/>
        <v>3110592.7253602147</v>
      </c>
      <c r="M11" s="153">
        <f t="shared" si="4"/>
        <v>0.15560055933265829</v>
      </c>
      <c r="N11">
        <f t="shared" si="5"/>
        <v>4058177.7956536259</v>
      </c>
      <c r="O11">
        <v>2690929.4218351897</v>
      </c>
      <c r="P11" s="137"/>
      <c r="Q11" s="137"/>
      <c r="R11" s="137"/>
      <c r="S11" s="137"/>
      <c r="T11" s="137"/>
    </row>
    <row r="12" spans="1:22" ht="20.25" customHeight="1" x14ac:dyDescent="0.25">
      <c r="A12" s="305"/>
      <c r="B12" s="63" t="s">
        <v>302</v>
      </c>
      <c r="C12" s="150" t="s">
        <v>298</v>
      </c>
      <c r="D12" s="150" t="s">
        <v>299</v>
      </c>
      <c r="E12" s="150">
        <v>1</v>
      </c>
      <c r="F12" s="150" t="s">
        <v>300</v>
      </c>
      <c r="G12" s="152">
        <v>39.049999999999997</v>
      </c>
      <c r="H12" s="155">
        <v>407037.47258546692</v>
      </c>
      <c r="I12" s="155">
        <f t="shared" si="0"/>
        <v>47636.693807920143</v>
      </c>
      <c r="J12" s="155">
        <f t="shared" si="1"/>
        <v>40703.747202298138</v>
      </c>
      <c r="K12" s="155">
        <f t="shared" si="2"/>
        <v>89168.024447223332</v>
      </c>
      <c r="L12" s="155">
        <f t="shared" si="3"/>
        <v>584545.93804290856</v>
      </c>
      <c r="M12" s="153">
        <f t="shared" si="4"/>
        <v>0.12524711895462654</v>
      </c>
      <c r="N12">
        <f t="shared" si="5"/>
        <v>3266537.5965944501</v>
      </c>
      <c r="O12">
        <v>2166002.2228747765</v>
      </c>
      <c r="P12" s="137"/>
      <c r="Q12" s="137"/>
      <c r="R12" s="137"/>
      <c r="S12" s="137"/>
      <c r="T12" s="137"/>
    </row>
    <row r="13" spans="1:22" ht="27" customHeight="1" x14ac:dyDescent="0.25">
      <c r="A13" s="305"/>
      <c r="B13" s="63" t="s">
        <v>303</v>
      </c>
      <c r="C13" s="150" t="s">
        <v>298</v>
      </c>
      <c r="D13" s="150" t="s">
        <v>299</v>
      </c>
      <c r="E13" s="150">
        <v>1</v>
      </c>
      <c r="F13" s="150" t="s">
        <v>300</v>
      </c>
      <c r="G13" s="150">
        <v>33.700000000000003</v>
      </c>
      <c r="H13" s="155">
        <v>351271.7753170355</v>
      </c>
      <c r="I13" s="155">
        <f t="shared" si="0"/>
        <v>41110.283772776158</v>
      </c>
      <c r="J13" s="155">
        <f t="shared" si="1"/>
        <v>35127.177483161264</v>
      </c>
      <c r="K13" s="155">
        <f t="shared" si="2"/>
        <v>76951.662583135127</v>
      </c>
      <c r="L13" s="155">
        <f t="shared" si="3"/>
        <v>504460.89915610803</v>
      </c>
      <c r="M13" s="153">
        <f t="shared" si="4"/>
        <v>2.3536573605284727E-2</v>
      </c>
      <c r="N13">
        <f t="shared" si="5"/>
        <v>613851.26634751342</v>
      </c>
      <c r="O13">
        <v>407037.47258546692</v>
      </c>
      <c r="P13" s="137"/>
      <c r="Q13" s="137"/>
      <c r="R13" s="137"/>
      <c r="S13" s="137"/>
      <c r="T13" s="137"/>
    </row>
    <row r="14" spans="1:22" ht="23.25" customHeight="1" x14ac:dyDescent="0.25">
      <c r="A14" s="305"/>
      <c r="B14" s="63" t="s">
        <v>292</v>
      </c>
      <c r="C14" s="150" t="s">
        <v>298</v>
      </c>
      <c r="D14" s="150" t="s">
        <v>299</v>
      </c>
      <c r="E14" s="150">
        <v>1</v>
      </c>
      <c r="F14" s="150" t="s">
        <v>300</v>
      </c>
      <c r="G14" s="150">
        <v>30</v>
      </c>
      <c r="H14" s="155">
        <v>312704.84449587727</v>
      </c>
      <c r="I14" s="155">
        <f t="shared" si="0"/>
        <v>36596.691785854142</v>
      </c>
      <c r="J14" s="155">
        <f t="shared" si="1"/>
        <v>31270.484406375013</v>
      </c>
      <c r="K14" s="155">
        <f t="shared" si="2"/>
        <v>68502.963723859168</v>
      </c>
      <c r="L14" s="155">
        <f t="shared" si="3"/>
        <v>449074.98441196565</v>
      </c>
      <c r="M14" s="153">
        <f t="shared" si="4"/>
        <v>2.0311972611987077E-2</v>
      </c>
      <c r="N14">
        <f t="shared" si="5"/>
        <v>529751.28491449938</v>
      </c>
      <c r="O14">
        <v>351271.7753170355</v>
      </c>
      <c r="P14" s="137"/>
      <c r="Q14" s="137"/>
      <c r="R14" s="137"/>
      <c r="S14" s="137"/>
      <c r="T14" s="137"/>
    </row>
    <row r="15" spans="1:22" x14ac:dyDescent="0.25">
      <c r="A15" s="305"/>
      <c r="B15" s="63" t="s">
        <v>288</v>
      </c>
      <c r="C15" s="150" t="s">
        <v>298</v>
      </c>
      <c r="D15" s="150" t="s">
        <v>299</v>
      </c>
      <c r="E15" s="150">
        <v>1</v>
      </c>
      <c r="F15" s="150" t="s">
        <v>300</v>
      </c>
      <c r="G15" s="152">
        <v>25.26</v>
      </c>
      <c r="H15" s="155">
        <v>263297.47906552866</v>
      </c>
      <c r="I15" s="155">
        <f t="shared" si="0"/>
        <v>30814.414483689186</v>
      </c>
      <c r="J15" s="155">
        <f t="shared" si="1"/>
        <v>26329.747870167761</v>
      </c>
      <c r="K15" s="155">
        <f t="shared" si="2"/>
        <v>57679.495455489407</v>
      </c>
      <c r="L15" s="155">
        <f t="shared" si="3"/>
        <v>378121.13687487505</v>
      </c>
      <c r="M15" s="153">
        <f t="shared" si="4"/>
        <v>1.8081874728771877E-2</v>
      </c>
      <c r="N15">
        <f t="shared" si="5"/>
        <v>471588.68093278876</v>
      </c>
      <c r="O15">
        <v>312704.84449587727</v>
      </c>
      <c r="P15" s="137"/>
      <c r="Q15" s="137"/>
      <c r="R15" s="137"/>
      <c r="S15" s="137"/>
      <c r="T15" s="137"/>
    </row>
    <row r="16" spans="1:22" x14ac:dyDescent="0.25">
      <c r="A16" s="305"/>
      <c r="B16" s="63" t="s">
        <v>284</v>
      </c>
      <c r="C16" s="150" t="s">
        <v>298</v>
      </c>
      <c r="D16" s="150" t="s">
        <v>299</v>
      </c>
      <c r="E16" s="150">
        <v>1</v>
      </c>
      <c r="F16" s="150" t="s">
        <v>300</v>
      </c>
      <c r="G16" s="152">
        <v>24.76</v>
      </c>
      <c r="H16" s="155">
        <v>258085.73165726408</v>
      </c>
      <c r="I16" s="155">
        <f t="shared" si="0"/>
        <v>30204.469620591623</v>
      </c>
      <c r="J16" s="155">
        <f t="shared" si="1"/>
        <v>25808.573130061515</v>
      </c>
      <c r="K16" s="155">
        <f t="shared" si="2"/>
        <v>56537.779393425102</v>
      </c>
      <c r="L16" s="155">
        <f t="shared" si="3"/>
        <v>370636.55380134232</v>
      </c>
      <c r="M16" s="153">
        <f t="shared" si="4"/>
        <v>1.5224938521625922E-2</v>
      </c>
      <c r="N16">
        <f t="shared" si="5"/>
        <v>397077.66934540815</v>
      </c>
      <c r="O16">
        <v>263297.47906552866</v>
      </c>
      <c r="P16" s="137"/>
      <c r="Q16" s="137"/>
      <c r="R16" s="137"/>
      <c r="S16" s="137"/>
      <c r="T16" s="137"/>
    </row>
    <row r="17" spans="1:23" x14ac:dyDescent="0.25">
      <c r="A17" s="305"/>
      <c r="B17" s="63" t="s">
        <v>285</v>
      </c>
      <c r="C17" s="150" t="s">
        <v>298</v>
      </c>
      <c r="D17" s="150" t="s">
        <v>299</v>
      </c>
      <c r="E17" s="150">
        <v>1</v>
      </c>
      <c r="F17" s="150" t="s">
        <v>300</v>
      </c>
      <c r="G17" s="152">
        <v>48.11</v>
      </c>
      <c r="H17" s="155">
        <v>501474.33562322188</v>
      </c>
      <c r="I17" s="155">
        <f t="shared" si="0"/>
        <v>58688.894727248095</v>
      </c>
      <c r="J17" s="155">
        <f t="shared" si="1"/>
        <v>50147.433493023396</v>
      </c>
      <c r="K17" s="155">
        <f t="shared" si="2"/>
        <v>109855.9194918288</v>
      </c>
      <c r="L17" s="155">
        <f t="shared" si="3"/>
        <v>720166.5833353221</v>
      </c>
      <c r="M17" s="153">
        <f t="shared" si="4"/>
        <v>1.4923573942813058E-2</v>
      </c>
      <c r="N17">
        <f t="shared" si="5"/>
        <v>389217.85799652839</v>
      </c>
      <c r="O17">
        <v>258085.73165726408</v>
      </c>
      <c r="P17" s="137"/>
      <c r="Q17" s="137"/>
      <c r="R17" s="137"/>
      <c r="S17" s="137"/>
      <c r="T17" s="137"/>
    </row>
    <row r="18" spans="1:23" ht="25.5" x14ac:dyDescent="0.25">
      <c r="A18" s="305"/>
      <c r="B18" s="63" t="s">
        <v>304</v>
      </c>
      <c r="C18" s="150" t="s">
        <v>298</v>
      </c>
      <c r="D18" s="150" t="s">
        <v>299</v>
      </c>
      <c r="E18" s="150">
        <v>1</v>
      </c>
      <c r="F18" s="150" t="s">
        <v>300</v>
      </c>
      <c r="G18" s="152">
        <v>74.319999999999993</v>
      </c>
      <c r="H18" s="155">
        <v>774674.13476445328</v>
      </c>
      <c r="I18" s="155">
        <f t="shared" si="0"/>
        <v>90662.204450822654</v>
      </c>
      <c r="J18" s="155">
        <f t="shared" si="1"/>
        <v>77467.41336939302</v>
      </c>
      <c r="K18" s="155">
        <f t="shared" si="2"/>
        <v>169704.67546524041</v>
      </c>
      <c r="L18" s="155">
        <f t="shared" si="3"/>
        <v>1112508.4280499094</v>
      </c>
      <c r="M18" s="153">
        <f t="shared" si="4"/>
        <v>2.8997299773373834E-2</v>
      </c>
      <c r="N18">
        <f t="shared" si="5"/>
        <v>756271.04798921559</v>
      </c>
      <c r="O18">
        <v>501474.33562322188</v>
      </c>
      <c r="P18" s="137"/>
      <c r="Q18" s="137"/>
      <c r="R18" s="137"/>
      <c r="S18" s="137"/>
      <c r="T18" s="137"/>
    </row>
    <row r="19" spans="1:23" x14ac:dyDescent="0.25">
      <c r="A19" s="305"/>
      <c r="B19" s="63" t="s">
        <v>289</v>
      </c>
      <c r="C19" s="150" t="s">
        <v>298</v>
      </c>
      <c r="D19" s="150" t="s">
        <v>299</v>
      </c>
      <c r="E19" s="150">
        <v>2</v>
      </c>
      <c r="F19" s="150" t="s">
        <v>300</v>
      </c>
      <c r="G19" s="152">
        <f>109.49+124.01+32</f>
        <v>265.5</v>
      </c>
      <c r="H19" s="155">
        <v>2767437.8737885142</v>
      </c>
      <c r="I19" s="155">
        <f>+H19*$I$4</f>
        <v>323880.7223048092</v>
      </c>
      <c r="J19" s="155">
        <f>+H19*$J$4</f>
        <v>276743.7869964189</v>
      </c>
      <c r="K19" s="155">
        <f>+(H19+I19+J19)*$K$4</f>
        <v>606251.22895615362</v>
      </c>
      <c r="L19" s="155">
        <f>+H19+I19+J19+K19</f>
        <v>3974313.6120458962</v>
      </c>
      <c r="M19" s="153">
        <f t="shared" si="4"/>
        <v>4.4794830994744197E-2</v>
      </c>
      <c r="N19">
        <f t="shared" si="5"/>
        <v>1168282.3588974953</v>
      </c>
      <c r="O19">
        <v>774674.13476445328</v>
      </c>
      <c r="P19" s="137"/>
      <c r="Q19" s="137"/>
      <c r="R19" s="137"/>
      <c r="S19" s="137"/>
      <c r="T19" s="137"/>
    </row>
    <row r="20" spans="1:23" x14ac:dyDescent="0.25">
      <c r="A20" s="305"/>
      <c r="B20" s="63" t="s">
        <v>283</v>
      </c>
      <c r="C20" s="150" t="s">
        <v>298</v>
      </c>
      <c r="D20" s="150" t="s">
        <v>299</v>
      </c>
      <c r="E20" s="150">
        <v>1</v>
      </c>
      <c r="F20" s="150" t="s">
        <v>300</v>
      </c>
      <c r="G20" s="152">
        <v>136.29</v>
      </c>
      <c r="H20" s="155">
        <v>1420618.1085447704</v>
      </c>
      <c r="I20" s="155">
        <f t="shared" si="0"/>
        <v>166258.77078313535</v>
      </c>
      <c r="J20" s="155">
        <f t="shared" si="1"/>
        <v>142061.81065816167</v>
      </c>
      <c r="K20" s="155">
        <f t="shared" si="2"/>
        <v>311208.96419749217</v>
      </c>
      <c r="L20" s="155">
        <f t="shared" si="3"/>
        <v>2040147.6541835598</v>
      </c>
      <c r="M20" s="153">
        <f t="shared" si="4"/>
        <v>0.16002459134963112</v>
      </c>
      <c r="N20">
        <f t="shared" si="5"/>
        <v>4173559.8262551809</v>
      </c>
      <c r="O20">
        <v>2767437.8737885142</v>
      </c>
      <c r="P20" s="137"/>
      <c r="Q20" s="137"/>
      <c r="R20" s="137"/>
      <c r="S20" s="137"/>
      <c r="T20" s="137"/>
    </row>
    <row r="21" spans="1:23" x14ac:dyDescent="0.25">
      <c r="A21" s="305"/>
      <c r="B21" s="63" t="s">
        <v>282</v>
      </c>
      <c r="C21" s="150" t="s">
        <v>298</v>
      </c>
      <c r="D21" s="150" t="s">
        <v>299</v>
      </c>
      <c r="E21" s="150">
        <v>1</v>
      </c>
      <c r="F21" s="150" t="s">
        <v>300</v>
      </c>
      <c r="G21" s="152">
        <v>139.9</v>
      </c>
      <c r="H21" s="155">
        <v>1458246.9248324411</v>
      </c>
      <c r="I21" s="155">
        <f t="shared" si="0"/>
        <v>170662.57269469983</v>
      </c>
      <c r="J21" s="155">
        <f t="shared" si="1"/>
        <v>145824.69228172881</v>
      </c>
      <c r="K21" s="155">
        <f t="shared" si="2"/>
        <v>319452.15416559653</v>
      </c>
      <c r="L21" s="155">
        <f t="shared" si="3"/>
        <v>2094186.3439744662</v>
      </c>
      <c r="M21" s="153">
        <f t="shared" si="4"/>
        <v>8.2145956892810637E-2</v>
      </c>
      <c r="N21">
        <f t="shared" si="5"/>
        <v>2142427.3774776594</v>
      </c>
      <c r="O21">
        <v>1420618.1085447704</v>
      </c>
      <c r="P21" s="137"/>
      <c r="Q21" s="137"/>
      <c r="R21" s="137"/>
      <c r="S21" s="137"/>
      <c r="T21" s="137"/>
    </row>
    <row r="22" spans="1:23" x14ac:dyDescent="0.25">
      <c r="A22" s="305"/>
      <c r="B22" s="63" t="s">
        <v>281</v>
      </c>
      <c r="C22" s="150" t="s">
        <v>298</v>
      </c>
      <c r="D22" s="150" t="s">
        <v>299</v>
      </c>
      <c r="E22" s="150">
        <v>1</v>
      </c>
      <c r="F22" s="150" t="s">
        <v>300</v>
      </c>
      <c r="G22" s="152">
        <v>19.440000000000001</v>
      </c>
      <c r="H22" s="155">
        <v>202632.7392333285</v>
      </c>
      <c r="I22" s="155">
        <f t="shared" si="0"/>
        <v>23714.656277233487</v>
      </c>
      <c r="J22" s="155">
        <f t="shared" si="1"/>
        <v>20263.273895331011</v>
      </c>
      <c r="K22" s="155">
        <f t="shared" si="2"/>
        <v>44389.920493060737</v>
      </c>
      <c r="L22" s="155">
        <f t="shared" si="3"/>
        <v>291000.58989895374</v>
      </c>
      <c r="M22" s="153">
        <f t="shared" si="4"/>
        <v>8.4321809151839525E-2</v>
      </c>
      <c r="N22">
        <f t="shared" si="5"/>
        <v>2199175.2154165716</v>
      </c>
      <c r="O22">
        <v>1458246.9248324411</v>
      </c>
      <c r="P22" s="137"/>
      <c r="Q22" s="137"/>
      <c r="R22" s="137"/>
      <c r="S22" s="137"/>
      <c r="T22" s="137"/>
    </row>
    <row r="23" spans="1:23" x14ac:dyDescent="0.25">
      <c r="A23" s="305"/>
      <c r="B23" s="63" t="s">
        <v>280</v>
      </c>
      <c r="C23" s="150" t="s">
        <v>298</v>
      </c>
      <c r="D23" s="150" t="s">
        <v>299</v>
      </c>
      <c r="E23" s="150">
        <v>1</v>
      </c>
      <c r="F23" s="150" t="s">
        <v>300</v>
      </c>
      <c r="G23" s="152">
        <v>13.48</v>
      </c>
      <c r="H23" s="155">
        <v>140508.7101268142</v>
      </c>
      <c r="I23" s="155">
        <f t="shared" si="0"/>
        <v>16444.113509110462</v>
      </c>
      <c r="J23" s="155">
        <f t="shared" si="1"/>
        <v>14050.870993264507</v>
      </c>
      <c r="K23" s="155">
        <f t="shared" si="2"/>
        <v>30780.665033254052</v>
      </c>
      <c r="L23" s="155">
        <f t="shared" si="3"/>
        <v>201784.35966244322</v>
      </c>
      <c r="M23" s="153">
        <f t="shared" si="4"/>
        <v>1.1717054824244177E-2</v>
      </c>
      <c r="N23">
        <f t="shared" si="5"/>
        <v>305589.46524444717</v>
      </c>
      <c r="O23">
        <v>202632.7392333285</v>
      </c>
      <c r="P23" s="137"/>
      <c r="Q23" s="137"/>
      <c r="R23" s="137"/>
      <c r="S23" s="137"/>
      <c r="T23" s="137"/>
    </row>
    <row r="24" spans="1:23" x14ac:dyDescent="0.25">
      <c r="A24" s="305"/>
      <c r="B24" s="63" t="s">
        <v>279</v>
      </c>
      <c r="C24" s="150" t="s">
        <v>298</v>
      </c>
      <c r="D24" s="150" t="s">
        <v>299</v>
      </c>
      <c r="E24" s="150">
        <v>1</v>
      </c>
      <c r="F24" s="150" t="s">
        <v>300</v>
      </c>
      <c r="G24" s="152">
        <v>24</v>
      </c>
      <c r="H24" s="155">
        <v>250163.87559670184</v>
      </c>
      <c r="I24" s="155">
        <f t="shared" si="0"/>
        <v>29277.353428683316</v>
      </c>
      <c r="J24" s="155">
        <f t="shared" si="1"/>
        <v>25016.38752510001</v>
      </c>
      <c r="K24" s="155">
        <f t="shared" si="2"/>
        <v>54802.370979087333</v>
      </c>
      <c r="L24" s="155">
        <f t="shared" si="3"/>
        <v>359259.98752957251</v>
      </c>
      <c r="M24" s="153">
        <f t="shared" si="4"/>
        <v>8.1247890447948314E-3</v>
      </c>
      <c r="N24">
        <f t="shared" si="5"/>
        <v>211900.51396579979</v>
      </c>
      <c r="O24">
        <v>140508.7101268142</v>
      </c>
      <c r="P24" s="137"/>
      <c r="Q24" s="137"/>
      <c r="R24" s="137"/>
      <c r="S24" s="137"/>
      <c r="T24" s="137"/>
    </row>
    <row r="25" spans="1:23" x14ac:dyDescent="0.25">
      <c r="A25" s="305"/>
      <c r="B25" s="63" t="s">
        <v>278</v>
      </c>
      <c r="C25" s="150" t="s">
        <v>298</v>
      </c>
      <c r="D25" s="150" t="s">
        <v>299</v>
      </c>
      <c r="E25" s="150">
        <v>1</v>
      </c>
      <c r="F25" s="150" t="s">
        <v>300</v>
      </c>
      <c r="G25" s="152">
        <v>10.32</v>
      </c>
      <c r="H25" s="155">
        <v>107570.4665065818</v>
      </c>
      <c r="I25" s="155">
        <f t="shared" si="0"/>
        <v>12589.261974333825</v>
      </c>
      <c r="J25" s="155">
        <f t="shared" si="1"/>
        <v>10757.046635793005</v>
      </c>
      <c r="K25" s="155">
        <f t="shared" si="2"/>
        <v>23565.019521007551</v>
      </c>
      <c r="L25" s="155">
        <f t="shared" si="3"/>
        <v>154481.79463771617</v>
      </c>
      <c r="M25" s="153">
        <f t="shared" si="4"/>
        <v>1.4465499783017503E-2</v>
      </c>
      <c r="N25">
        <f t="shared" si="5"/>
        <v>377270.94474623102</v>
      </c>
      <c r="O25">
        <v>250163.87559670184</v>
      </c>
      <c r="P25" s="137"/>
      <c r="Q25" s="137"/>
      <c r="R25" s="137"/>
      <c r="S25" s="137"/>
      <c r="T25" s="137"/>
    </row>
    <row r="26" spans="1:23" ht="29.25" customHeight="1" x14ac:dyDescent="0.25">
      <c r="A26" s="305"/>
      <c r="B26" s="63" t="s">
        <v>290</v>
      </c>
      <c r="C26" s="150" t="s">
        <v>298</v>
      </c>
      <c r="D26" s="150" t="s">
        <v>299</v>
      </c>
      <c r="E26" s="150">
        <v>1</v>
      </c>
      <c r="F26" s="150" t="s">
        <v>300</v>
      </c>
      <c r="G26" s="152">
        <v>15.82</v>
      </c>
      <c r="H26" s="155">
        <v>164899.68799749261</v>
      </c>
      <c r="I26" s="155">
        <f t="shared" si="0"/>
        <v>19298.655468407083</v>
      </c>
      <c r="J26" s="155">
        <f t="shared" si="1"/>
        <v>16489.968776961756</v>
      </c>
      <c r="K26" s="155">
        <f t="shared" si="2"/>
        <v>36123.896203715063</v>
      </c>
      <c r="L26" s="155">
        <f t="shared" si="3"/>
        <v>236812.20844657652</v>
      </c>
      <c r="M26" s="153">
        <f t="shared" si="4"/>
        <v>6.2201649066975263E-3</v>
      </c>
      <c r="N26">
        <f t="shared" si="5"/>
        <v>162226.50624087936</v>
      </c>
      <c r="O26">
        <v>107570.4665065818</v>
      </c>
      <c r="P26" s="137"/>
      <c r="Q26" s="137"/>
      <c r="R26" s="137"/>
      <c r="S26" s="137"/>
      <c r="T26" s="137"/>
    </row>
    <row r="27" spans="1:23" x14ac:dyDescent="0.25">
      <c r="A27" s="305"/>
      <c r="B27" s="63" t="s">
        <v>277</v>
      </c>
      <c r="C27" s="150" t="s">
        <v>298</v>
      </c>
      <c r="D27" s="150" t="s">
        <v>299</v>
      </c>
      <c r="E27" s="150">
        <v>1</v>
      </c>
      <c r="F27" s="150" t="s">
        <v>300</v>
      </c>
      <c r="G27" s="152">
        <v>82.16</v>
      </c>
      <c r="H27" s="155">
        <v>856394.33412604267</v>
      </c>
      <c r="I27" s="155">
        <f t="shared" si="0"/>
        <v>100226.13990419255</v>
      </c>
      <c r="J27" s="155">
        <f t="shared" si="1"/>
        <v>85639.433294259041</v>
      </c>
      <c r="K27" s="155">
        <f t="shared" si="2"/>
        <v>187606.78331840894</v>
      </c>
      <c r="L27" s="155">
        <f t="shared" si="3"/>
        <v>1229866.6906429031</v>
      </c>
      <c r="M27" s="153">
        <f t="shared" si="4"/>
        <v>9.5351752736390367E-3</v>
      </c>
      <c r="N27">
        <f t="shared" si="5"/>
        <v>248684.43107855727</v>
      </c>
      <c r="O27">
        <v>164899.68799749261</v>
      </c>
      <c r="P27" s="137"/>
      <c r="Q27" s="137"/>
      <c r="R27" s="137"/>
      <c r="S27" s="137"/>
      <c r="T27" s="137"/>
    </row>
    <row r="28" spans="1:23" ht="26.25" customHeight="1" x14ac:dyDescent="0.25">
      <c r="A28" s="305"/>
      <c r="B28" s="63" t="s">
        <v>291</v>
      </c>
      <c r="C28" s="150" t="s">
        <v>298</v>
      </c>
      <c r="D28" s="150" t="s">
        <v>299</v>
      </c>
      <c r="E28" s="150">
        <v>1</v>
      </c>
      <c r="F28" s="150" t="s">
        <v>300</v>
      </c>
      <c r="G28" s="152">
        <v>14.69</v>
      </c>
      <c r="H28" s="155">
        <v>153121.13885481501</v>
      </c>
      <c r="I28" s="155">
        <f t="shared" si="0"/>
        <v>17920.180077806628</v>
      </c>
      <c r="J28" s="155">
        <f t="shared" si="1"/>
        <v>15312.113864321675</v>
      </c>
      <c r="K28" s="155">
        <f t="shared" si="2"/>
        <v>33543.617903449798</v>
      </c>
      <c r="L28" s="155">
        <f t="shared" si="3"/>
        <v>219897.05070039313</v>
      </c>
      <c r="M28" s="153">
        <f>+G27/$N$5</f>
        <v>4.9520227590529917E-2</v>
      </c>
      <c r="N28">
        <f t="shared" si="5"/>
        <v>1291524.200847931</v>
      </c>
      <c r="O28">
        <v>856394.33412604267</v>
      </c>
      <c r="P28" s="137"/>
      <c r="Q28" s="137"/>
      <c r="R28" s="137"/>
      <c r="S28" s="137"/>
      <c r="T28" s="137"/>
    </row>
    <row r="29" spans="1:23" ht="26.25" customHeight="1" x14ac:dyDescent="0.25">
      <c r="A29" s="306"/>
      <c r="B29" s="63" t="s">
        <v>473</v>
      </c>
      <c r="C29" s="150" t="s">
        <v>298</v>
      </c>
      <c r="D29" s="150" t="s">
        <v>471</v>
      </c>
      <c r="E29" s="150">
        <v>1</v>
      </c>
      <c r="F29" s="150" t="s">
        <v>300</v>
      </c>
      <c r="G29" s="152">
        <v>400</v>
      </c>
      <c r="H29" s="155">
        <v>867000</v>
      </c>
      <c r="I29" s="155">
        <f>+H29*$I$4</f>
        <v>101467.34960082738</v>
      </c>
      <c r="J29" s="155">
        <f t="shared" si="1"/>
        <v>86699.999880189178</v>
      </c>
      <c r="K29" s="155">
        <f t="shared" si="2"/>
        <v>189930.12290658295</v>
      </c>
      <c r="L29" s="155">
        <f t="shared" si="3"/>
        <v>1245097.4723875993</v>
      </c>
      <c r="M29" s="153">
        <f>+G28/$N$5</f>
        <v>8.8540913255219632E-3</v>
      </c>
      <c r="N29">
        <f t="shared" si="5"/>
        <v>230921.25743008891</v>
      </c>
      <c r="O29">
        <v>153121.13885481458</v>
      </c>
      <c r="P29" s="137"/>
      <c r="Q29" s="137"/>
      <c r="R29" s="137"/>
      <c r="S29" s="137"/>
      <c r="T29" s="137"/>
    </row>
    <row r="30" spans="1:23" ht="39" customHeight="1" x14ac:dyDescent="0.25">
      <c r="A30" s="65" t="s">
        <v>461</v>
      </c>
      <c r="B30" s="63" t="s">
        <v>472</v>
      </c>
      <c r="C30" s="150" t="s">
        <v>470</v>
      </c>
      <c r="D30" s="150" t="s">
        <v>305</v>
      </c>
      <c r="E30" s="150" t="s">
        <v>271</v>
      </c>
      <c r="F30" s="150"/>
      <c r="G30" s="150">
        <v>1</v>
      </c>
      <c r="H30" s="155">
        <v>3548398.21</v>
      </c>
      <c r="I30" s="155">
        <f t="shared" si="0"/>
        <v>415278.61787430226</v>
      </c>
      <c r="J30" s="155">
        <f t="shared" si="1"/>
        <v>354839.8205096465</v>
      </c>
      <c r="K30" s="155">
        <f t="shared" si="2"/>
        <v>777332.9967091108</v>
      </c>
      <c r="L30" s="155">
        <f t="shared" si="3"/>
        <v>5095849.6450930601</v>
      </c>
      <c r="M30" s="153">
        <f>+SUM(M6:M29)</f>
        <v>1</v>
      </c>
      <c r="N30">
        <f>+M30*$N$31</f>
        <v>26080740.410306953</v>
      </c>
      <c r="P30" s="137"/>
      <c r="Q30" s="137"/>
      <c r="R30" s="137"/>
      <c r="S30" s="137"/>
      <c r="T30" s="137"/>
    </row>
    <row r="31" spans="1:23" x14ac:dyDescent="0.25">
      <c r="A31" s="299" t="s">
        <v>457</v>
      </c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06">
        <f>+SUM(L5:L30)</f>
        <v>31176590.055400014</v>
      </c>
      <c r="M31" s="137"/>
      <c r="N31" s="321">
        <f>+SUM(L5:L29)</f>
        <v>26080740.410306953</v>
      </c>
      <c r="O31" s="138"/>
      <c r="P31" s="154">
        <f>+SUM(N6:N30)</f>
        <v>52161480.820613906</v>
      </c>
      <c r="Q31" s="154">
        <f>+P31+3548398.21</f>
        <v>55709879.030613907</v>
      </c>
      <c r="R31" s="138"/>
      <c r="T31" s="137"/>
      <c r="V31" s="137"/>
      <c r="W31" s="137"/>
    </row>
    <row r="32" spans="1:23" ht="15" customHeight="1" x14ac:dyDescent="0.25">
      <c r="A32" s="299" t="s">
        <v>272</v>
      </c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06">
        <f>300000+60000</f>
        <v>360000</v>
      </c>
      <c r="M32" s="137"/>
      <c r="N32">
        <f>+SUM(N6:N30)</f>
        <v>52161480.820613906</v>
      </c>
      <c r="O32">
        <f>+SUM(O6:O30)</f>
        <v>17293828.719999995</v>
      </c>
      <c r="P32" s="154"/>
      <c r="Q32" s="154"/>
      <c r="R32" s="138"/>
      <c r="T32" s="137"/>
      <c r="V32" s="137"/>
      <c r="W32" s="137"/>
    </row>
    <row r="33" spans="1:23" x14ac:dyDescent="0.25">
      <c r="A33" s="299" t="s">
        <v>458</v>
      </c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07">
        <v>150000</v>
      </c>
      <c r="M33" s="137"/>
      <c r="O33" s="138"/>
      <c r="P33" s="154"/>
      <c r="Q33" s="154"/>
      <c r="R33" s="138"/>
      <c r="T33" s="137"/>
      <c r="V33" s="137"/>
      <c r="W33" s="137"/>
    </row>
    <row r="34" spans="1:23" ht="16.5" customHeight="1" x14ac:dyDescent="0.25">
      <c r="A34" s="299" t="s">
        <v>74</v>
      </c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07">
        <v>1167203.32</v>
      </c>
      <c r="M34" s="137"/>
      <c r="N34" s="155">
        <v>5095849.6450930601</v>
      </c>
    </row>
    <row r="35" spans="1:23" ht="16.5" customHeight="1" x14ac:dyDescent="0.25">
      <c r="A35" s="298" t="s">
        <v>456</v>
      </c>
      <c r="B35" s="298"/>
      <c r="C35" s="298"/>
      <c r="D35" s="298"/>
      <c r="E35" s="298"/>
      <c r="F35" s="298"/>
      <c r="G35" s="298"/>
      <c r="H35" s="298"/>
      <c r="I35" s="298"/>
      <c r="J35" s="298"/>
      <c r="K35" s="298"/>
      <c r="L35" s="207">
        <f>+L31+L32+L33+L34</f>
        <v>32853793.375400014</v>
      </c>
      <c r="M35" s="137"/>
    </row>
    <row r="36" spans="1:23" ht="16.5" customHeight="1" x14ac:dyDescent="0.25">
      <c r="A36" s="299" t="s">
        <v>459</v>
      </c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07">
        <f>+L35*2%</f>
        <v>657075.86750800034</v>
      </c>
      <c r="M36" s="137"/>
    </row>
    <row r="37" spans="1:23" ht="16.5" customHeight="1" x14ac:dyDescent="0.25">
      <c r="A37" s="298" t="s">
        <v>75</v>
      </c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07">
        <f>+L35+L36</f>
        <v>33510869.242908016</v>
      </c>
      <c r="M37" s="137"/>
    </row>
    <row r="38" spans="1:23" ht="16.5" customHeight="1" x14ac:dyDescent="0.25">
      <c r="H38" s="321"/>
    </row>
    <row r="39" spans="1:23" ht="18" customHeight="1" x14ac:dyDescent="0.25"/>
    <row r="40" spans="1:23" x14ac:dyDescent="0.25">
      <c r="L40" s="2"/>
    </row>
    <row r="41" spans="1:23" x14ac:dyDescent="0.25">
      <c r="B41" s="138"/>
      <c r="C41" s="138"/>
      <c r="D41" s="138"/>
      <c r="E41" s="138"/>
      <c r="F41" s="138"/>
      <c r="G41" s="138"/>
      <c r="H41" s="138"/>
      <c r="I41" s="138"/>
      <c r="J41" s="138"/>
      <c r="K41" s="138"/>
    </row>
    <row r="42" spans="1:23" x14ac:dyDescent="0.25">
      <c r="A42" s="2"/>
      <c r="B42" s="138"/>
      <c r="C42" s="138"/>
      <c r="D42" s="138"/>
      <c r="E42" s="138"/>
      <c r="F42" s="138"/>
      <c r="G42" s="138"/>
      <c r="H42" s="138"/>
      <c r="I42" s="138"/>
      <c r="J42" s="138"/>
      <c r="K42" s="138"/>
    </row>
    <row r="43" spans="1:23" x14ac:dyDescent="0.25">
      <c r="B43" s="138"/>
      <c r="C43" s="138"/>
      <c r="D43" s="138"/>
      <c r="E43" s="138"/>
      <c r="F43" s="138"/>
      <c r="G43" s="138"/>
      <c r="H43" s="138"/>
      <c r="I43" s="138"/>
      <c r="J43" s="138"/>
      <c r="K43" s="138"/>
    </row>
    <row r="44" spans="1:23" x14ac:dyDescent="0.25">
      <c r="B44" s="138"/>
      <c r="C44" s="138"/>
      <c r="D44" s="138"/>
      <c r="E44" s="138"/>
      <c r="F44" s="138"/>
      <c r="G44" s="138"/>
      <c r="H44" s="138"/>
      <c r="I44" s="138"/>
      <c r="J44" s="138"/>
      <c r="K44" s="138"/>
    </row>
    <row r="46" spans="1:23" x14ac:dyDescent="0.25">
      <c r="B46" s="137"/>
      <c r="C46" s="137"/>
      <c r="D46" s="137"/>
      <c r="E46" s="137"/>
      <c r="F46" s="137"/>
      <c r="G46" s="137"/>
      <c r="H46" s="137"/>
      <c r="I46" s="137"/>
      <c r="J46" s="137"/>
      <c r="K46" s="137"/>
    </row>
    <row r="52" spans="1:2" x14ac:dyDescent="0.25">
      <c r="A52">
        <f>$A$42*A46</f>
        <v>0</v>
      </c>
      <c r="B52">
        <v>8581.1208353557813</v>
      </c>
    </row>
    <row r="53" spans="1:2" x14ac:dyDescent="0.25">
      <c r="A53">
        <f>$A$42*A47</f>
        <v>0</v>
      </c>
      <c r="B53">
        <v>8581.1208353557813</v>
      </c>
    </row>
    <row r="54" spans="1:2" x14ac:dyDescent="0.25">
      <c r="A54">
        <f>$A$42*A48</f>
        <v>0</v>
      </c>
      <c r="B54">
        <v>37454.068555529055</v>
      </c>
    </row>
    <row r="55" spans="1:2" x14ac:dyDescent="0.25">
      <c r="A55">
        <f>$A$42*A49</f>
        <v>0</v>
      </c>
      <c r="B55">
        <v>4060.2738723272714</v>
      </c>
    </row>
    <row r="56" spans="1:2" x14ac:dyDescent="0.25">
      <c r="A56">
        <f>$A$42*A50</f>
        <v>0</v>
      </c>
      <c r="B56">
        <v>20839.325901432101</v>
      </c>
    </row>
  </sheetData>
  <mergeCells count="18">
    <mergeCell ref="A1:L1"/>
    <mergeCell ref="A2:L2"/>
    <mergeCell ref="A3:A4"/>
    <mergeCell ref="B3:B4"/>
    <mergeCell ref="C3:C4"/>
    <mergeCell ref="H3:H4"/>
    <mergeCell ref="G3:G4"/>
    <mergeCell ref="L3:L4"/>
    <mergeCell ref="D3:E3"/>
    <mergeCell ref="A5:A29"/>
    <mergeCell ref="A35:K35"/>
    <mergeCell ref="A36:K36"/>
    <mergeCell ref="A37:K37"/>
    <mergeCell ref="F3:F4"/>
    <mergeCell ref="A31:K31"/>
    <mergeCell ref="A32:K32"/>
    <mergeCell ref="A33:K33"/>
    <mergeCell ref="A34:K34"/>
  </mergeCells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149"/>
  <sheetViews>
    <sheetView topLeftCell="A112" zoomScale="82" zoomScaleNormal="82" workbookViewId="0">
      <selection activeCell="B1" sqref="B1:F144"/>
    </sheetView>
  </sheetViews>
  <sheetFormatPr baseColWidth="10" defaultRowHeight="15" x14ac:dyDescent="0.25"/>
  <cols>
    <col min="2" max="2" width="16.42578125" customWidth="1"/>
    <col min="3" max="3" width="25.140625" customWidth="1"/>
    <col min="4" max="4" width="18.5703125" style="1" customWidth="1"/>
    <col min="5" max="5" width="14.42578125" customWidth="1"/>
    <col min="6" max="6" width="17.28515625" customWidth="1"/>
    <col min="12" max="12" width="20.140625" customWidth="1"/>
  </cols>
  <sheetData>
    <row r="1" spans="2:12" ht="25.5" customHeight="1" x14ac:dyDescent="0.25">
      <c r="B1" s="310" t="s">
        <v>462</v>
      </c>
      <c r="C1" s="310"/>
      <c r="D1" s="310"/>
      <c r="E1" s="310"/>
      <c r="F1" s="310"/>
    </row>
    <row r="2" spans="2:12" x14ac:dyDescent="0.25">
      <c r="B2" s="311" t="s">
        <v>270</v>
      </c>
      <c r="C2" s="311"/>
      <c r="D2" s="311"/>
      <c r="E2" s="311"/>
      <c r="F2" s="311"/>
    </row>
    <row r="3" spans="2:12" ht="25.5" x14ac:dyDescent="0.25">
      <c r="B3" s="68" t="s">
        <v>70</v>
      </c>
      <c r="C3" s="68" t="s">
        <v>71</v>
      </c>
      <c r="D3" s="68" t="s">
        <v>72</v>
      </c>
      <c r="E3" s="68" t="s">
        <v>87</v>
      </c>
      <c r="F3" s="68" t="s">
        <v>88</v>
      </c>
      <c r="G3" s="74"/>
    </row>
    <row r="4" spans="2:12" ht="25.5" customHeight="1" x14ac:dyDescent="0.25">
      <c r="B4" s="304" t="s">
        <v>455</v>
      </c>
      <c r="C4" s="64" t="str">
        <f>+'COSTOS A PRECIOS MERCADO'!B5</f>
        <v xml:space="preserve">CONSTRUCCION SALA DE PROCEDIMIENTOS AMBULATORIOS </v>
      </c>
      <c r="D4" s="75">
        <f>+'COSTOS A PRECIOS MERCADO'!L5</f>
        <v>269444.99064717937</v>
      </c>
      <c r="E4" s="75"/>
      <c r="F4" s="75">
        <f>SUM(F5:F8)</f>
        <v>178543.47460115381</v>
      </c>
      <c r="H4" s="137">
        <v>0.1</v>
      </c>
      <c r="I4">
        <f>+$D$125*H4</f>
        <v>124509.74723875994</v>
      </c>
      <c r="J4">
        <v>124509.74723875994</v>
      </c>
    </row>
    <row r="5" spans="2:12" x14ac:dyDescent="0.25">
      <c r="B5" s="305"/>
      <c r="C5" s="63" t="s">
        <v>76</v>
      </c>
      <c r="D5" s="76">
        <v>28295.320855967322</v>
      </c>
      <c r="E5" s="76">
        <v>0.79</v>
      </c>
      <c r="F5" s="76">
        <f>+D5*E5</f>
        <v>22353.303476214187</v>
      </c>
      <c r="H5" s="208">
        <v>0.5</v>
      </c>
      <c r="I5">
        <f>+$D$125*H5</f>
        <v>622548.73619379965</v>
      </c>
      <c r="J5">
        <v>622548.73619379965</v>
      </c>
      <c r="L5" s="155">
        <v>282953.20855967322</v>
      </c>
    </row>
    <row r="6" spans="2:12" x14ac:dyDescent="0.25">
      <c r="B6" s="305"/>
      <c r="C6" s="63" t="s">
        <v>77</v>
      </c>
      <c r="D6" s="76">
        <v>141476.60427983661</v>
      </c>
      <c r="E6" s="76">
        <v>0.42</v>
      </c>
      <c r="F6" s="76">
        <f>+D6*E6</f>
        <v>59420.173797531374</v>
      </c>
      <c r="H6" s="208">
        <v>0.15</v>
      </c>
      <c r="I6">
        <f>+$D$125*H6</f>
        <v>186764.62085813988</v>
      </c>
      <c r="J6">
        <v>186764.62085813988</v>
      </c>
      <c r="L6" s="155">
        <v>269748.72549355513</v>
      </c>
    </row>
    <row r="7" spans="2:12" x14ac:dyDescent="0.25">
      <c r="B7" s="305"/>
      <c r="C7" s="63" t="s">
        <v>78</v>
      </c>
      <c r="D7" s="76">
        <v>42442.981283950983</v>
      </c>
      <c r="E7" s="76">
        <v>0.86750000000000005</v>
      </c>
      <c r="F7" s="76">
        <f>+D7*E7</f>
        <v>36819.286263827482</v>
      </c>
      <c r="H7" s="208">
        <v>0.25</v>
      </c>
      <c r="I7">
        <f>+$D$125*H7</f>
        <v>311274.36809689982</v>
      </c>
      <c r="J7">
        <v>311274.36809689982</v>
      </c>
      <c r="L7" s="155">
        <v>305432.26901746949</v>
      </c>
    </row>
    <row r="8" spans="2:12" ht="25.5" customHeight="1" x14ac:dyDescent="0.25">
      <c r="B8" s="305"/>
      <c r="C8" s="63" t="s">
        <v>79</v>
      </c>
      <c r="D8" s="76">
        <v>70738.302139918305</v>
      </c>
      <c r="E8" s="76">
        <v>0.84750000000000003</v>
      </c>
      <c r="F8" s="76">
        <f>+D8*E8</f>
        <v>59950.711063580769</v>
      </c>
      <c r="H8" s="208"/>
      <c r="L8" s="155">
        <v>682231.62508276768</v>
      </c>
    </row>
    <row r="9" spans="2:12" ht="25.5" customHeight="1" x14ac:dyDescent="0.25">
      <c r="B9" s="305"/>
      <c r="C9" s="64" t="str">
        <f>+'COSTOS A PRECIOS MERCADO'!B6</f>
        <v>CONSTRUCCION DE CONSULTORIO CRED</v>
      </c>
      <c r="D9" s="75">
        <f>+'COSTOS A PRECIOS MERCADO'!L6</f>
        <v>256870.89108364432</v>
      </c>
      <c r="E9" s="75"/>
      <c r="F9" s="75">
        <f>SUM(F10:F13)</f>
        <v>170211.44578643329</v>
      </c>
      <c r="H9" s="137">
        <f>+D4+D9+D14+D19</f>
        <v>1466828.5907509504</v>
      </c>
      <c r="L9" s="155">
        <v>1546339.2847786141</v>
      </c>
    </row>
    <row r="10" spans="2:12" x14ac:dyDescent="0.25">
      <c r="B10" s="305"/>
      <c r="C10" s="63" t="s">
        <v>76</v>
      </c>
      <c r="D10" s="76">
        <v>26974.872549355514</v>
      </c>
      <c r="E10" s="76">
        <v>0.79</v>
      </c>
      <c r="F10" s="76">
        <f>+D10*E10</f>
        <v>21310.149313990856</v>
      </c>
      <c r="L10" s="155">
        <v>4058177.7956536249</v>
      </c>
    </row>
    <row r="11" spans="2:12" ht="25.5" customHeight="1" x14ac:dyDescent="0.25">
      <c r="B11" s="305"/>
      <c r="C11" s="63" t="s">
        <v>85</v>
      </c>
      <c r="D11" s="76">
        <v>134874.36274677757</v>
      </c>
      <c r="E11" s="76">
        <v>0.42</v>
      </c>
      <c r="F11" s="76">
        <f>+D11*E11</f>
        <v>56647.232353646577</v>
      </c>
      <c r="L11" s="155">
        <v>3266537.5965944496</v>
      </c>
    </row>
    <row r="12" spans="2:12" x14ac:dyDescent="0.25">
      <c r="B12" s="305"/>
      <c r="C12" s="63" t="s">
        <v>82</v>
      </c>
      <c r="D12" s="76">
        <v>40462.308824033265</v>
      </c>
      <c r="E12" s="76">
        <v>0.86750000000000005</v>
      </c>
      <c r="F12" s="76">
        <f>+D12*E12</f>
        <v>35101.052904848861</v>
      </c>
      <c r="L12" s="155">
        <v>613851.26634751318</v>
      </c>
    </row>
    <row r="13" spans="2:12" ht="25.5" x14ac:dyDescent="0.25">
      <c r="B13" s="305"/>
      <c r="C13" s="63" t="s">
        <v>83</v>
      </c>
      <c r="D13" s="76">
        <v>67437.181373388783</v>
      </c>
      <c r="E13" s="76">
        <v>0.84750000000000003</v>
      </c>
      <c r="F13" s="76">
        <f>+D13*E13</f>
        <v>57153.011213946993</v>
      </c>
      <c r="L13" s="155">
        <v>529751.28491449927</v>
      </c>
    </row>
    <row r="14" spans="2:12" ht="38.25" customHeight="1" x14ac:dyDescent="0.25">
      <c r="B14" s="305"/>
      <c r="C14" s="64" t="str">
        <f>+'COSTOS A PRECIOS MERCADO'!B7</f>
        <v>CONSTRUCCION DE SALA DE INMUNIZACIONES</v>
      </c>
      <c r="D14" s="75">
        <f>+'COSTOS A PRECIOS MERCADO'!L7</f>
        <v>290850.89823748305</v>
      </c>
      <c r="E14" s="75"/>
      <c r="F14" s="75">
        <f>SUM(F15:F18)</f>
        <v>192727.76175002326</v>
      </c>
      <c r="L14" s="155">
        <v>397077.6693454081</v>
      </c>
    </row>
    <row r="15" spans="2:12" x14ac:dyDescent="0.25">
      <c r="B15" s="305"/>
      <c r="C15" s="63" t="s">
        <v>76</v>
      </c>
      <c r="D15" s="76">
        <v>30543.226901746952</v>
      </c>
      <c r="E15" s="76">
        <v>0.79</v>
      </c>
      <c r="F15" s="76">
        <f>D15*E15</f>
        <v>24129.149252380092</v>
      </c>
      <c r="L15" s="155">
        <v>389217.85799652833</v>
      </c>
    </row>
    <row r="16" spans="2:12" x14ac:dyDescent="0.25">
      <c r="B16" s="305"/>
      <c r="C16" s="63" t="s">
        <v>85</v>
      </c>
      <c r="D16" s="76">
        <v>152716.13450873474</v>
      </c>
      <c r="E16" s="76">
        <v>0.42</v>
      </c>
      <c r="F16" s="76">
        <f>D16*E16</f>
        <v>64140.776493668593</v>
      </c>
      <c r="L16" s="155">
        <v>756271.04798921547</v>
      </c>
    </row>
    <row r="17" spans="2:12" x14ac:dyDescent="0.25">
      <c r="B17" s="305"/>
      <c r="C17" s="63" t="s">
        <v>82</v>
      </c>
      <c r="D17" s="76">
        <v>45814.84035262042</v>
      </c>
      <c r="E17" s="76">
        <v>0.86750000000000005</v>
      </c>
      <c r="F17" s="76">
        <f>D17*E17</f>
        <v>39744.374005898215</v>
      </c>
      <c r="L17" s="155">
        <v>1168282.3588974951</v>
      </c>
    </row>
    <row r="18" spans="2:12" ht="25.5" customHeight="1" x14ac:dyDescent="0.25">
      <c r="B18" s="305"/>
      <c r="C18" s="63" t="s">
        <v>86</v>
      </c>
      <c r="D18" s="76">
        <v>76358.067254367372</v>
      </c>
      <c r="E18" s="76">
        <v>0.84750000000000003</v>
      </c>
      <c r="F18" s="76">
        <f>D18*E18</f>
        <v>64713.461998076353</v>
      </c>
      <c r="L18" s="155">
        <v>3670531.899926872</v>
      </c>
    </row>
    <row r="19" spans="2:12" ht="43.5" customHeight="1" x14ac:dyDescent="0.25">
      <c r="B19" s="305"/>
      <c r="C19" s="64" t="str">
        <f>+'COSTOS A PRECIOS MERCADO'!B8</f>
        <v>CONSTRUCCION DE AMBIENTE DE  ACOMPAÑAMIENTO Y/O CONSEJERIA</v>
      </c>
      <c r="D19" s="75">
        <f>+'COSTOS A PRECIOS MERCADO'!L8</f>
        <v>649661.81078264362</v>
      </c>
      <c r="E19" s="75"/>
      <c r="F19" s="75">
        <f>SUM(F20:F23)</f>
        <v>430488.15542722639</v>
      </c>
      <c r="L19" s="155">
        <v>503027.92632830795</v>
      </c>
    </row>
    <row r="20" spans="2:12" x14ac:dyDescent="0.25">
      <c r="B20" s="305"/>
      <c r="C20" s="63" t="s">
        <v>76</v>
      </c>
      <c r="D20" s="76">
        <v>68223.162508276771</v>
      </c>
      <c r="E20" s="76">
        <v>0.79</v>
      </c>
      <c r="F20" s="76">
        <f>D20*E20</f>
        <v>53896.298381538654</v>
      </c>
      <c r="L20" s="155">
        <v>2199175.2154165711</v>
      </c>
    </row>
    <row r="21" spans="2:12" ht="25.5" customHeight="1" x14ac:dyDescent="0.25">
      <c r="B21" s="305"/>
      <c r="C21" s="63" t="s">
        <v>81</v>
      </c>
      <c r="D21" s="76">
        <v>341115.81254138384</v>
      </c>
      <c r="E21" s="76">
        <v>0.42</v>
      </c>
      <c r="F21" s="76">
        <f>D21*E21</f>
        <v>143268.6412673812</v>
      </c>
      <c r="L21" s="155">
        <v>305589.46524444706</v>
      </c>
    </row>
    <row r="22" spans="2:12" x14ac:dyDescent="0.25">
      <c r="B22" s="305"/>
      <c r="C22" s="63" t="s">
        <v>82</v>
      </c>
      <c r="D22" s="76">
        <v>102334.74376241515</v>
      </c>
      <c r="E22" s="76">
        <v>0.86750000000000005</v>
      </c>
      <c r="F22" s="76">
        <f>D22*E22</f>
        <v>88775.390213895153</v>
      </c>
      <c r="L22" s="155">
        <v>211900.51396579974</v>
      </c>
    </row>
    <row r="23" spans="2:12" ht="25.5" x14ac:dyDescent="0.25">
      <c r="B23" s="305"/>
      <c r="C23" s="63" t="s">
        <v>86</v>
      </c>
      <c r="D23" s="76">
        <v>170557.90627069192</v>
      </c>
      <c r="E23" s="76">
        <v>0.84750000000000003</v>
      </c>
      <c r="F23" s="76">
        <f>D23*E23</f>
        <v>144547.82556441141</v>
      </c>
      <c r="L23" s="155">
        <v>377270.9447462309</v>
      </c>
    </row>
    <row r="24" spans="2:12" ht="25.5" customHeight="1" x14ac:dyDescent="0.25">
      <c r="B24" s="305"/>
      <c r="C24" s="64" t="str">
        <f>+'COSTOS A PRECIOS MERCADO'!B9</f>
        <v xml:space="preserve">CONSTRUCCION DE CONSULTORIO </v>
      </c>
      <c r="D24" s="75">
        <f>+'COSTOS A PRECIOS MERCADO'!L9</f>
        <v>1472516.8738868353</v>
      </c>
      <c r="E24" s="75"/>
      <c r="F24" s="75">
        <f>SUM(F25:F28)</f>
        <v>975740.08869530517</v>
      </c>
      <c r="H24" s="137" t="e">
        <f>+SUM(#REF!)</f>
        <v>#REF!</v>
      </c>
      <c r="L24" s="155">
        <v>248684.43107855722</v>
      </c>
    </row>
    <row r="25" spans="2:12" x14ac:dyDescent="0.25">
      <c r="B25" s="305"/>
      <c r="C25" s="63" t="s">
        <v>76</v>
      </c>
      <c r="D25" s="76">
        <v>154633.92847786099</v>
      </c>
      <c r="E25" s="76">
        <v>0.79</v>
      </c>
      <c r="F25" s="76">
        <f>+D25*E25</f>
        <v>122160.80349751019</v>
      </c>
      <c r="L25" s="155">
        <v>1291524.2008479307</v>
      </c>
    </row>
    <row r="26" spans="2:12" x14ac:dyDescent="0.25">
      <c r="B26" s="305"/>
      <c r="C26" s="63" t="s">
        <v>77</v>
      </c>
      <c r="D26" s="76">
        <v>773169.64238930703</v>
      </c>
      <c r="E26" s="76">
        <v>0.42</v>
      </c>
      <c r="F26" s="76">
        <f>+D26*E26</f>
        <v>324731.24980350892</v>
      </c>
      <c r="L26" s="155">
        <v>230921.25743008888</v>
      </c>
    </row>
    <row r="27" spans="2:12" x14ac:dyDescent="0.25">
      <c r="B27" s="305"/>
      <c r="C27" s="63" t="s">
        <v>78</v>
      </c>
      <c r="D27" s="76">
        <v>231950.892716792</v>
      </c>
      <c r="E27" s="76">
        <v>0.86750000000000005</v>
      </c>
      <c r="F27" s="76">
        <f>+D27*E27</f>
        <v>201217.39943181709</v>
      </c>
      <c r="L27" s="155">
        <v>5095849.6450930601</v>
      </c>
    </row>
    <row r="28" spans="2:12" ht="25.5" customHeight="1" x14ac:dyDescent="0.25">
      <c r="B28" s="305"/>
      <c r="C28" s="63" t="s">
        <v>79</v>
      </c>
      <c r="D28" s="76">
        <v>386584.82119465352</v>
      </c>
      <c r="E28" s="76">
        <v>0.84750000000000003</v>
      </c>
      <c r="F28" s="76">
        <f>+D28*E28</f>
        <v>327630.63596246886</v>
      </c>
    </row>
    <row r="29" spans="2:12" ht="25.5" customHeight="1" x14ac:dyDescent="0.25">
      <c r="B29" s="305"/>
      <c r="C29" s="64" t="str">
        <f>+'COSTOS A PRECIOS MERCADO'!B10</f>
        <v>CONTRUCCION AMBIENTE COMPLEMENTARIO</v>
      </c>
      <c r="D29" s="75">
        <f>+'COSTOS A PRECIOS MERCADO'!L10</f>
        <v>3864439.9325264348</v>
      </c>
      <c r="E29" s="75"/>
      <c r="F29" s="75">
        <f>SUM(F30:F33)</f>
        <v>2560710.1890574372</v>
      </c>
      <c r="H29" s="137">
        <f>+D24+D29+D34+D39</f>
        <v>9032095.4698163942</v>
      </c>
    </row>
    <row r="30" spans="2:12" x14ac:dyDescent="0.25">
      <c r="B30" s="305"/>
      <c r="C30" s="63" t="s">
        <v>76</v>
      </c>
      <c r="D30" s="76">
        <v>405817.77956536249</v>
      </c>
      <c r="E30" s="76">
        <v>0.79</v>
      </c>
      <c r="F30" s="76">
        <f>+D30*E30</f>
        <v>320596.04585663637</v>
      </c>
    </row>
    <row r="31" spans="2:12" ht="25.5" customHeight="1" x14ac:dyDescent="0.25">
      <c r="B31" s="305"/>
      <c r="C31" s="63" t="s">
        <v>85</v>
      </c>
      <c r="D31" s="76">
        <v>2029088.8978268125</v>
      </c>
      <c r="E31" s="76">
        <v>0.42</v>
      </c>
      <c r="F31" s="76">
        <f>+D31*E31</f>
        <v>852217.33708726126</v>
      </c>
    </row>
    <row r="32" spans="2:12" x14ac:dyDescent="0.25">
      <c r="B32" s="305"/>
      <c r="C32" s="63" t="s">
        <v>82</v>
      </c>
      <c r="D32" s="76">
        <v>608726.66934804374</v>
      </c>
      <c r="E32" s="76">
        <v>0.86750000000000005</v>
      </c>
      <c r="F32" s="76">
        <f>+D32*E32</f>
        <v>528070.38565942796</v>
      </c>
    </row>
    <row r="33" spans="2:8" ht="25.5" x14ac:dyDescent="0.25">
      <c r="B33" s="305"/>
      <c r="C33" s="63" t="s">
        <v>83</v>
      </c>
      <c r="D33" s="76">
        <v>1014544.4489134062</v>
      </c>
      <c r="E33" s="76">
        <v>0.84750000000000003</v>
      </c>
      <c r="F33" s="76">
        <f>+D33*E33</f>
        <v>859826.42045411177</v>
      </c>
    </row>
    <row r="34" spans="2:8" ht="38.25" customHeight="1" x14ac:dyDescent="0.25">
      <c r="B34" s="305"/>
      <c r="C34" s="64" t="str">
        <f>+'COSTOS A PRECIOS MERCADO'!B11</f>
        <v xml:space="preserve">CONSTRUCCION DE LABORATORIO GENERAL </v>
      </c>
      <c r="D34" s="75">
        <f>+'COSTOS A PRECIOS MERCADO'!L11</f>
        <v>3110592.7253602147</v>
      </c>
      <c r="E34" s="75"/>
      <c r="F34" s="75">
        <f>SUM(F35:F38)</f>
        <v>2061185.2234510977</v>
      </c>
    </row>
    <row r="35" spans="2:8" x14ac:dyDescent="0.25">
      <c r="B35" s="305"/>
      <c r="C35" s="63" t="s">
        <v>76</v>
      </c>
      <c r="D35" s="76">
        <v>326653.75965944497</v>
      </c>
      <c r="E35" s="76">
        <v>0.79</v>
      </c>
      <c r="F35" s="76">
        <f>D35*E35</f>
        <v>258056.47013096153</v>
      </c>
    </row>
    <row r="36" spans="2:8" x14ac:dyDescent="0.25">
      <c r="B36" s="305"/>
      <c r="C36" s="63" t="s">
        <v>85</v>
      </c>
      <c r="D36" s="76">
        <v>1633268.7982972248</v>
      </c>
      <c r="E36" s="76">
        <v>0.42</v>
      </c>
      <c r="F36" s="76">
        <f>D36*E36</f>
        <v>685972.89528483443</v>
      </c>
    </row>
    <row r="37" spans="2:8" x14ac:dyDescent="0.25">
      <c r="B37" s="305"/>
      <c r="C37" s="63" t="s">
        <v>82</v>
      </c>
      <c r="D37" s="76">
        <v>489980.63948916743</v>
      </c>
      <c r="E37" s="76">
        <v>0.86750000000000005</v>
      </c>
      <c r="F37" s="76">
        <f>D37*E37</f>
        <v>425058.20475685276</v>
      </c>
    </row>
    <row r="38" spans="2:8" ht="25.5" customHeight="1" x14ac:dyDescent="0.25">
      <c r="B38" s="305"/>
      <c r="C38" s="63" t="s">
        <v>86</v>
      </c>
      <c r="D38" s="76">
        <v>816634.3991486124</v>
      </c>
      <c r="E38" s="76">
        <v>0.84750000000000003</v>
      </c>
      <c r="F38" s="76">
        <f>D38*E38</f>
        <v>692097.65327844908</v>
      </c>
    </row>
    <row r="39" spans="2:8" ht="27.75" customHeight="1" x14ac:dyDescent="0.25">
      <c r="B39" s="305"/>
      <c r="C39" s="64" t="str">
        <f>+'COSTOS A PRECIOS MERCADO'!B12</f>
        <v xml:space="preserve">CONSTRUCCION AMBIENTE DE DISPENSACION Y EXPENDIO </v>
      </c>
      <c r="D39" s="75">
        <f>+'COSTOS A PRECIOS MERCADO'!L12</f>
        <v>584545.93804290856</v>
      </c>
      <c r="E39" s="75"/>
      <c r="F39" s="75">
        <f>SUM(F40:F43)</f>
        <v>387340.1490652808</v>
      </c>
    </row>
    <row r="40" spans="2:8" x14ac:dyDescent="0.25">
      <c r="B40" s="305"/>
      <c r="C40" s="63" t="s">
        <v>76</v>
      </c>
      <c r="D40" s="76">
        <v>61385.126634751323</v>
      </c>
      <c r="E40" s="76">
        <v>0.79</v>
      </c>
      <c r="F40" s="76">
        <f>D40*E40</f>
        <v>48494.250041453546</v>
      </c>
    </row>
    <row r="41" spans="2:8" ht="25.5" customHeight="1" x14ac:dyDescent="0.25">
      <c r="B41" s="305"/>
      <c r="C41" s="63" t="s">
        <v>81</v>
      </c>
      <c r="D41" s="76">
        <v>306925.63317375659</v>
      </c>
      <c r="E41" s="76">
        <v>0.42</v>
      </c>
      <c r="F41" s="76">
        <f>D41*E41</f>
        <v>128908.76593297777</v>
      </c>
    </row>
    <row r="42" spans="2:8" x14ac:dyDescent="0.25">
      <c r="B42" s="305"/>
      <c r="C42" s="63" t="s">
        <v>82</v>
      </c>
      <c r="D42" s="76">
        <v>92077.689952126981</v>
      </c>
      <c r="E42" s="76">
        <v>0.86750000000000005</v>
      </c>
      <c r="F42" s="76">
        <f>D42*E42</f>
        <v>79877.396033470155</v>
      </c>
    </row>
    <row r="43" spans="2:8" ht="25.5" x14ac:dyDescent="0.25">
      <c r="B43" s="305"/>
      <c r="C43" s="63" t="s">
        <v>86</v>
      </c>
      <c r="D43" s="76">
        <v>153462.8165868783</v>
      </c>
      <c r="E43" s="76">
        <v>0.84750000000000003</v>
      </c>
      <c r="F43" s="76">
        <f>D43*E43</f>
        <v>130059.73705737936</v>
      </c>
    </row>
    <row r="44" spans="2:8" ht="25.5" customHeight="1" x14ac:dyDescent="0.25">
      <c r="B44" s="305"/>
      <c r="C44" s="64" t="str">
        <f>+'COSTOS A PRECIOS MERCADO'!B13</f>
        <v xml:space="preserve">CONSTRUCCION DE TOPICO DE URGENCIAS Y EMERGENCIAS </v>
      </c>
      <c r="D44" s="75">
        <f>+'COSTOS A PRECIOS MERCADO'!L13</f>
        <v>504460.89915610803</v>
      </c>
      <c r="E44" s="75"/>
      <c r="F44" s="75">
        <f>SUM(F45:F48)</f>
        <v>334273.06078104902</v>
      </c>
      <c r="H44" s="137" t="e">
        <f>+SUM(#REF!)</f>
        <v>#REF!</v>
      </c>
    </row>
    <row r="45" spans="2:8" x14ac:dyDescent="0.25">
      <c r="B45" s="305"/>
      <c r="C45" s="63" t="s">
        <v>76</v>
      </c>
      <c r="D45" s="76">
        <v>52975.128491449927</v>
      </c>
      <c r="E45" s="76">
        <v>0.79</v>
      </c>
      <c r="F45" s="76">
        <f>+D45*E45</f>
        <v>41850.351508245447</v>
      </c>
    </row>
    <row r="46" spans="2:8" x14ac:dyDescent="0.25">
      <c r="B46" s="305"/>
      <c r="C46" s="63" t="s">
        <v>77</v>
      </c>
      <c r="D46" s="76">
        <v>264875.64245724963</v>
      </c>
      <c r="E46" s="76">
        <v>0.42</v>
      </c>
      <c r="F46" s="76">
        <f>+D46*E46</f>
        <v>111247.76983204484</v>
      </c>
    </row>
    <row r="47" spans="2:8" x14ac:dyDescent="0.25">
      <c r="B47" s="305"/>
      <c r="C47" s="63" t="s">
        <v>78</v>
      </c>
      <c r="D47" s="76">
        <v>79462.69273717489</v>
      </c>
      <c r="E47" s="76">
        <v>0.86750000000000005</v>
      </c>
      <c r="F47" s="76">
        <f>+D47*E47</f>
        <v>68933.885949499221</v>
      </c>
    </row>
    <row r="48" spans="2:8" ht="25.5" customHeight="1" x14ac:dyDescent="0.25">
      <c r="B48" s="305"/>
      <c r="C48" s="63" t="s">
        <v>79</v>
      </c>
      <c r="D48" s="76">
        <v>132437.82122862482</v>
      </c>
      <c r="E48" s="76">
        <v>0.84750000000000003</v>
      </c>
      <c r="F48" s="76">
        <f>+D48*E48</f>
        <v>112241.05349125953</v>
      </c>
    </row>
    <row r="49" spans="2:8" ht="25.5" customHeight="1" x14ac:dyDescent="0.25">
      <c r="B49" s="305"/>
      <c r="C49" s="64" t="str">
        <f>+'COSTOS A PRECIOS MERCADO'!B14</f>
        <v xml:space="preserve">CONSTRUCCION SALA DE EMERGENCIA </v>
      </c>
      <c r="D49" s="75">
        <f>+'COSTOS A PRECIOS MERCADO'!L14</f>
        <v>449074.98441196565</v>
      </c>
      <c r="E49" s="75"/>
      <c r="F49" s="75">
        <f>SUM(F50:F53)</f>
        <v>297572.45766858966</v>
      </c>
      <c r="H49" s="137">
        <f>+D44+D49+D54+D59</f>
        <v>1702293.5742442911</v>
      </c>
    </row>
    <row r="50" spans="2:8" x14ac:dyDescent="0.25">
      <c r="B50" s="305"/>
      <c r="C50" s="63" t="s">
        <v>76</v>
      </c>
      <c r="D50" s="76">
        <v>47158.86809327887</v>
      </c>
      <c r="E50" s="76">
        <v>0.79</v>
      </c>
      <c r="F50" s="76">
        <f>+D50*E50</f>
        <v>37255.50579369031</v>
      </c>
    </row>
    <row r="51" spans="2:8" ht="25.5" customHeight="1" x14ac:dyDescent="0.25">
      <c r="B51" s="305"/>
      <c r="C51" s="63" t="s">
        <v>85</v>
      </c>
      <c r="D51" s="76">
        <v>235794.34046639432</v>
      </c>
      <c r="E51" s="76">
        <v>0.42</v>
      </c>
      <c r="F51" s="76">
        <f>+D51*E51</f>
        <v>99033.622995885613</v>
      </c>
    </row>
    <row r="52" spans="2:8" x14ac:dyDescent="0.25">
      <c r="B52" s="305"/>
      <c r="C52" s="63" t="s">
        <v>82</v>
      </c>
      <c r="D52" s="76">
        <v>70738.302139918291</v>
      </c>
      <c r="E52" s="76">
        <v>0.86750000000000005</v>
      </c>
      <c r="F52" s="76">
        <f>+D52*E52</f>
        <v>61365.47710637912</v>
      </c>
    </row>
    <row r="53" spans="2:8" ht="25.5" x14ac:dyDescent="0.25">
      <c r="B53" s="305"/>
      <c r="C53" s="63" t="s">
        <v>83</v>
      </c>
      <c r="D53" s="76">
        <v>117897.17023319716</v>
      </c>
      <c r="E53" s="76">
        <v>0.84750000000000003</v>
      </c>
      <c r="F53" s="76">
        <f>+D53*E53</f>
        <v>99917.851772634604</v>
      </c>
    </row>
    <row r="54" spans="2:8" ht="38.25" customHeight="1" x14ac:dyDescent="0.25">
      <c r="B54" s="305"/>
      <c r="C54" s="64" t="str">
        <f>+'COSTOS A PRECIOS MERCADO'!B15</f>
        <v>CONSTRUCCION DE SALA DE RADIOGRAFIA</v>
      </c>
      <c r="D54" s="75">
        <f>+'COSTOS A PRECIOS MERCADO'!L15</f>
        <v>378121.13687487505</v>
      </c>
      <c r="E54" s="75"/>
      <c r="F54" s="75">
        <f>SUM(F55:F58)</f>
        <v>250556.00935695251</v>
      </c>
    </row>
    <row r="55" spans="2:8" x14ac:dyDescent="0.25">
      <c r="B55" s="305"/>
      <c r="C55" s="63" t="s">
        <v>76</v>
      </c>
      <c r="D55" s="76">
        <v>39707.766934540814</v>
      </c>
      <c r="E55" s="76">
        <v>0.79</v>
      </c>
      <c r="F55" s="76">
        <f>D55*E55</f>
        <v>31369.135878287245</v>
      </c>
    </row>
    <row r="56" spans="2:8" x14ac:dyDescent="0.25">
      <c r="B56" s="305"/>
      <c r="C56" s="63" t="s">
        <v>85</v>
      </c>
      <c r="D56" s="76">
        <v>198538.83467270405</v>
      </c>
      <c r="E56" s="76">
        <v>0.42</v>
      </c>
      <c r="F56" s="76">
        <f>D56*E56</f>
        <v>83386.310562535698</v>
      </c>
    </row>
    <row r="57" spans="2:8" x14ac:dyDescent="0.25">
      <c r="B57" s="305"/>
      <c r="C57" s="63" t="s">
        <v>82</v>
      </c>
      <c r="D57" s="76">
        <v>59561.65040181121</v>
      </c>
      <c r="E57" s="76">
        <v>0.86750000000000005</v>
      </c>
      <c r="F57" s="76">
        <f>D57*E57</f>
        <v>51669.731723571225</v>
      </c>
    </row>
    <row r="58" spans="2:8" ht="25.5" customHeight="1" x14ac:dyDescent="0.25">
      <c r="B58" s="305"/>
      <c r="C58" s="63" t="s">
        <v>86</v>
      </c>
      <c r="D58" s="76">
        <v>99269.417336352024</v>
      </c>
      <c r="E58" s="76">
        <v>0.84750000000000003</v>
      </c>
      <c r="F58" s="76">
        <f>D58*E58</f>
        <v>84130.83119255834</v>
      </c>
    </row>
    <row r="59" spans="2:8" ht="27.75" customHeight="1" x14ac:dyDescent="0.25">
      <c r="B59" s="305"/>
      <c r="C59" s="64" t="str">
        <f>+'COSTOS A PRECIOS MERCADO'!B16</f>
        <v>CONSTRUCCION DE SALA DE ECOGRAFIA</v>
      </c>
      <c r="D59" s="75">
        <f>+'COSTOS A PRECIOS MERCADO'!L16</f>
        <v>370636.55380134232</v>
      </c>
      <c r="E59" s="75"/>
      <c r="F59" s="75">
        <f>SUM(F60:F63)</f>
        <v>245596.46839580938</v>
      </c>
    </row>
    <row r="60" spans="2:8" x14ac:dyDescent="0.25">
      <c r="B60" s="305"/>
      <c r="C60" s="63" t="s">
        <v>76</v>
      </c>
      <c r="D60" s="76">
        <v>38921.785799652833</v>
      </c>
      <c r="E60" s="76">
        <v>0.79</v>
      </c>
      <c r="F60" s="76">
        <f>D60*E60</f>
        <v>30748.210781725738</v>
      </c>
    </row>
    <row r="61" spans="2:8" ht="25.5" customHeight="1" x14ac:dyDescent="0.25">
      <c r="B61" s="305"/>
      <c r="C61" s="63" t="s">
        <v>81</v>
      </c>
      <c r="D61" s="76">
        <v>194608.92899826416</v>
      </c>
      <c r="E61" s="76">
        <v>0.42</v>
      </c>
      <c r="F61" s="76">
        <f>D61*E61</f>
        <v>81735.750179270952</v>
      </c>
    </row>
    <row r="62" spans="2:8" x14ac:dyDescent="0.25">
      <c r="B62" s="305"/>
      <c r="C62" s="63" t="s">
        <v>82</v>
      </c>
      <c r="D62" s="76">
        <v>58382.678699479249</v>
      </c>
      <c r="E62" s="76">
        <v>0.86750000000000005</v>
      </c>
      <c r="F62" s="76">
        <f>D62*E62</f>
        <v>50646.97377179825</v>
      </c>
    </row>
    <row r="63" spans="2:8" ht="25.5" x14ac:dyDescent="0.25">
      <c r="B63" s="305"/>
      <c r="C63" s="63" t="s">
        <v>86</v>
      </c>
      <c r="D63" s="76">
        <v>97304.464499132082</v>
      </c>
      <c r="E63" s="76">
        <v>0.84750000000000003</v>
      </c>
      <c r="F63" s="76">
        <f>D63*E63</f>
        <v>82465.533663014445</v>
      </c>
    </row>
    <row r="64" spans="2:8" ht="25.5" customHeight="1" x14ac:dyDescent="0.25">
      <c r="B64" s="305"/>
      <c r="C64" s="64" t="str">
        <f>+'COSTOS A PRECIOS MERCADO'!B17</f>
        <v>CONSTRUCCION DE AREA DE DESINFECCION</v>
      </c>
      <c r="D64" s="75">
        <f>+'COSTOS A PRECIOS MERCADO'!L17</f>
        <v>720166.5833353221</v>
      </c>
      <c r="E64" s="75"/>
      <c r="F64" s="75">
        <f>SUM(F65:F68)</f>
        <v>477207.031281195</v>
      </c>
      <c r="H64" s="137" t="e">
        <f>+SUM(#REF!)</f>
        <v>#REF!</v>
      </c>
    </row>
    <row r="65" spans="2:9" x14ac:dyDescent="0.25">
      <c r="B65" s="305"/>
      <c r="C65" s="63" t="s">
        <v>76</v>
      </c>
      <c r="D65" s="76">
        <v>75627.104798921544</v>
      </c>
      <c r="E65" s="76">
        <v>0.79</v>
      </c>
      <c r="F65" s="76">
        <f>+D65*E65</f>
        <v>59745.412791148025</v>
      </c>
    </row>
    <row r="66" spans="2:9" x14ac:dyDescent="0.25">
      <c r="B66" s="305"/>
      <c r="C66" s="63" t="s">
        <v>77</v>
      </c>
      <c r="D66" s="76">
        <v>378135.52399460773</v>
      </c>
      <c r="E66" s="76">
        <v>0.42</v>
      </c>
      <c r="F66" s="76">
        <f>+D66*E66</f>
        <v>158816.92007773524</v>
      </c>
    </row>
    <row r="67" spans="2:9" x14ac:dyDescent="0.25">
      <c r="B67" s="305"/>
      <c r="C67" s="63" t="s">
        <v>78</v>
      </c>
      <c r="D67" s="76">
        <v>113440.65719838232</v>
      </c>
      <c r="E67" s="76">
        <v>0.86750000000000005</v>
      </c>
      <c r="F67" s="76">
        <f>+D67*E67</f>
        <v>98409.770119596666</v>
      </c>
    </row>
    <row r="68" spans="2:9" ht="25.5" customHeight="1" x14ac:dyDescent="0.25">
      <c r="B68" s="305"/>
      <c r="C68" s="63" t="s">
        <v>79</v>
      </c>
      <c r="D68" s="76">
        <v>189067.76199730387</v>
      </c>
      <c r="E68" s="76">
        <v>0.84750000000000003</v>
      </c>
      <c r="F68" s="76">
        <f>+D68*E68</f>
        <v>160234.92829271502</v>
      </c>
    </row>
    <row r="69" spans="2:9" ht="25.5" customHeight="1" x14ac:dyDescent="0.25">
      <c r="B69" s="305"/>
      <c r="C69" s="64" t="str">
        <f>+'COSTOS A PRECIOS MERCADO'!B18</f>
        <v xml:space="preserve">CONSTRUCCION DE AREA DE SERVICIOS COMPLEMENTARIOS </v>
      </c>
      <c r="D69" s="75">
        <f>+'COSTOS A PRECIOS MERCADO'!L18</f>
        <v>1112508.4280499094</v>
      </c>
      <c r="E69" s="75"/>
      <c r="F69" s="75">
        <f>SUM(F70:F73)</f>
        <v>737186.16846431943</v>
      </c>
      <c r="H69" s="137">
        <f>+D64+D69+D74+D79</f>
        <v>7847136.2776146876</v>
      </c>
    </row>
    <row r="70" spans="2:9" x14ac:dyDescent="0.25">
      <c r="B70" s="305"/>
      <c r="C70" s="63" t="s">
        <v>76</v>
      </c>
      <c r="D70" s="76">
        <v>116828.23588974951</v>
      </c>
      <c r="E70" s="76">
        <v>0.79</v>
      </c>
      <c r="F70" s="76">
        <f>+D70*E70</f>
        <v>92294.306352902116</v>
      </c>
    </row>
    <row r="71" spans="2:9" ht="25.5" customHeight="1" x14ac:dyDescent="0.25">
      <c r="B71" s="305"/>
      <c r="C71" s="63" t="s">
        <v>85</v>
      </c>
      <c r="D71" s="76">
        <v>584141.17944874754</v>
      </c>
      <c r="E71" s="76">
        <v>0.42</v>
      </c>
      <c r="F71" s="76">
        <f>+D71*E71</f>
        <v>245339.29536847395</v>
      </c>
    </row>
    <row r="72" spans="2:9" x14ac:dyDescent="0.25">
      <c r="B72" s="305"/>
      <c r="C72" s="63" t="s">
        <v>82</v>
      </c>
      <c r="D72" s="76">
        <v>175242.35383462426</v>
      </c>
      <c r="E72" s="76">
        <v>0.86750000000000005</v>
      </c>
      <c r="F72" s="76">
        <f>+D72*E72</f>
        <v>152022.74195153656</v>
      </c>
    </row>
    <row r="73" spans="2:9" ht="25.5" x14ac:dyDescent="0.25">
      <c r="B73" s="305"/>
      <c r="C73" s="63" t="s">
        <v>83</v>
      </c>
      <c r="D73" s="76">
        <v>292070.58972437377</v>
      </c>
      <c r="E73" s="76">
        <v>0.84750000000000003</v>
      </c>
      <c r="F73" s="76">
        <f>+D73*E73</f>
        <v>247529.82479140678</v>
      </c>
    </row>
    <row r="74" spans="2:9" ht="38.25" customHeight="1" x14ac:dyDescent="0.25">
      <c r="B74" s="305"/>
      <c r="C74" s="64" t="str">
        <f>+'COSTOS A PRECIOS MERCADO'!B19</f>
        <v xml:space="preserve">CONSTRUCCION DE AMBIENTE ADMINISTRATIVO </v>
      </c>
      <c r="D74" s="75">
        <f>+'COSTOS A PRECIOS MERCADO'!L19</f>
        <v>3974313.6120458962</v>
      </c>
      <c r="E74" s="75"/>
      <c r="F74" s="75">
        <f>SUM(F75:F78)</f>
        <v>2633516.2503670179</v>
      </c>
    </row>
    <row r="75" spans="2:9" x14ac:dyDescent="0.25">
      <c r="B75" s="305"/>
      <c r="C75" s="63" t="s">
        <v>76</v>
      </c>
      <c r="D75" s="76">
        <v>417355.98262551794</v>
      </c>
      <c r="E75" s="76">
        <v>0.79</v>
      </c>
      <c r="F75" s="76">
        <f>D75*E75</f>
        <v>329711.22627415921</v>
      </c>
      <c r="I75" s="137"/>
    </row>
    <row r="76" spans="2:9" x14ac:dyDescent="0.25">
      <c r="B76" s="305"/>
      <c r="C76" s="63" t="s">
        <v>85</v>
      </c>
      <c r="D76" s="76">
        <v>2086779.9131275895</v>
      </c>
      <c r="E76" s="76">
        <v>0.42</v>
      </c>
      <c r="F76" s="76">
        <f>D76*E76</f>
        <v>876447.56351358758</v>
      </c>
    </row>
    <row r="77" spans="2:9" x14ac:dyDescent="0.25">
      <c r="B77" s="305"/>
      <c r="C77" s="63" t="s">
        <v>82</v>
      </c>
      <c r="D77" s="76">
        <v>626033.97393827687</v>
      </c>
      <c r="E77" s="76">
        <v>0.86750000000000005</v>
      </c>
      <c r="F77" s="76">
        <f>D77*E77</f>
        <v>543084.4723914552</v>
      </c>
    </row>
    <row r="78" spans="2:9" ht="25.5" customHeight="1" x14ac:dyDescent="0.25">
      <c r="B78" s="305"/>
      <c r="C78" s="63" t="s">
        <v>86</v>
      </c>
      <c r="D78" s="76">
        <v>1043389.9565637948</v>
      </c>
      <c r="E78" s="76">
        <v>0.84750000000000003</v>
      </c>
      <c r="F78" s="76">
        <f>D78*E78</f>
        <v>884272.98818781611</v>
      </c>
    </row>
    <row r="79" spans="2:9" ht="27.75" customHeight="1" x14ac:dyDescent="0.25">
      <c r="B79" s="305"/>
      <c r="C79" s="64" t="str">
        <f>+'COSTOS A PRECIOS MERCADO'!B20</f>
        <v>CONSTRUCCION DE DEPOSITO VEHICULAR</v>
      </c>
      <c r="D79" s="75">
        <f>+'COSTOS A PRECIOS MERCADO'!L20</f>
        <v>2040147.6541835598</v>
      </c>
      <c r="E79" s="75"/>
      <c r="F79" s="75">
        <f>SUM(F80:F83)</f>
        <v>1351871.6751884026</v>
      </c>
    </row>
    <row r="80" spans="2:9" x14ac:dyDescent="0.25">
      <c r="B80" s="305"/>
      <c r="C80" s="63" t="s">
        <v>76</v>
      </c>
      <c r="D80" s="76">
        <v>214242.7377477659</v>
      </c>
      <c r="E80" s="76">
        <v>0.79</v>
      </c>
      <c r="F80" s="76">
        <f>D80*E80</f>
        <v>169251.76282073508</v>
      </c>
    </row>
    <row r="81" spans="2:8" ht="25.5" customHeight="1" x14ac:dyDescent="0.25">
      <c r="B81" s="305"/>
      <c r="C81" s="63" t="s">
        <v>81</v>
      </c>
      <c r="D81" s="76">
        <v>1071213.6887388295</v>
      </c>
      <c r="E81" s="76">
        <v>0.42</v>
      </c>
      <c r="F81" s="76">
        <f>D81*E81</f>
        <v>449909.74927030836</v>
      </c>
    </row>
    <row r="82" spans="2:8" x14ac:dyDescent="0.25">
      <c r="B82" s="305"/>
      <c r="C82" s="63" t="s">
        <v>82</v>
      </c>
      <c r="D82" s="76">
        <v>321364.10662164883</v>
      </c>
      <c r="E82" s="76">
        <v>0.86750000000000005</v>
      </c>
      <c r="F82" s="76">
        <f>D82*E82</f>
        <v>278783.36249428039</v>
      </c>
    </row>
    <row r="83" spans="2:8" ht="25.5" x14ac:dyDescent="0.25">
      <c r="B83" s="305"/>
      <c r="C83" s="63" t="s">
        <v>86</v>
      </c>
      <c r="D83" s="76">
        <v>535606.84436941473</v>
      </c>
      <c r="E83" s="76">
        <v>0.84750000000000003</v>
      </c>
      <c r="F83" s="76">
        <f>D83*E83</f>
        <v>453926.80060307903</v>
      </c>
    </row>
    <row r="84" spans="2:8" ht="25.5" customHeight="1" x14ac:dyDescent="0.25">
      <c r="B84" s="305"/>
      <c r="C84" s="64" t="str">
        <f>+'COSTOS A PRECIOS MERCADO'!B21</f>
        <v>CONSTRUCCION DE CASA DE FUERZA</v>
      </c>
      <c r="D84" s="75">
        <f>+'COSTOS A PRECIOS MERCADO'!L21</f>
        <v>2094186.3439744662</v>
      </c>
      <c r="E84" s="75"/>
      <c r="F84" s="75">
        <f>SUM(F85:F88)</f>
        <v>1387679.5609278562</v>
      </c>
      <c r="H84" s="137" t="e">
        <f>+#REF!+D84+D89+D94</f>
        <v>#REF!</v>
      </c>
    </row>
    <row r="85" spans="2:8" x14ac:dyDescent="0.25">
      <c r="B85" s="305"/>
      <c r="C85" s="63" t="s">
        <v>76</v>
      </c>
      <c r="D85" s="76">
        <v>219917.52154165713</v>
      </c>
      <c r="E85" s="76">
        <v>0.79</v>
      </c>
      <c r="F85" s="76">
        <f>+D85*E85</f>
        <v>173734.84201790913</v>
      </c>
    </row>
    <row r="86" spans="2:8" ht="25.5" customHeight="1" x14ac:dyDescent="0.25">
      <c r="B86" s="305"/>
      <c r="C86" s="63" t="s">
        <v>85</v>
      </c>
      <c r="D86" s="76">
        <v>1099587.6077082856</v>
      </c>
      <c r="E86" s="76">
        <v>0.42</v>
      </c>
      <c r="F86" s="76">
        <f>+D86*E86</f>
        <v>461826.79523747991</v>
      </c>
    </row>
    <row r="87" spans="2:8" x14ac:dyDescent="0.25">
      <c r="B87" s="305"/>
      <c r="C87" s="63" t="s">
        <v>82</v>
      </c>
      <c r="D87" s="76">
        <v>329876.28231248568</v>
      </c>
      <c r="E87" s="76">
        <v>0.86750000000000005</v>
      </c>
      <c r="F87" s="76">
        <f>+D87*E87</f>
        <v>286167.67490608135</v>
      </c>
    </row>
    <row r="88" spans="2:8" ht="25.5" x14ac:dyDescent="0.25">
      <c r="B88" s="305"/>
      <c r="C88" s="63" t="s">
        <v>83</v>
      </c>
      <c r="D88" s="76">
        <v>549793.80385414278</v>
      </c>
      <c r="E88" s="76">
        <v>0.84750000000000003</v>
      </c>
      <c r="F88" s="76">
        <f>+D88*E88</f>
        <v>465950.24876638601</v>
      </c>
    </row>
    <row r="89" spans="2:8" ht="38.25" customHeight="1" x14ac:dyDescent="0.25">
      <c r="B89" s="305"/>
      <c r="C89" s="64" t="str">
        <f>+'COSTOS A PRECIOS MERCADO'!B22</f>
        <v xml:space="preserve">CONSTRUCCION DE CADENA DE FRIO </v>
      </c>
      <c r="D89" s="75">
        <f>+'COSTOS A PRECIOS MERCADO'!L22</f>
        <v>291000.58989895374</v>
      </c>
      <c r="E89" s="75"/>
      <c r="F89" s="75">
        <f>SUM(F90:F93)</f>
        <v>192826.95256924609</v>
      </c>
    </row>
    <row r="90" spans="2:8" x14ac:dyDescent="0.25">
      <c r="B90" s="305"/>
      <c r="C90" s="63" t="s">
        <v>76</v>
      </c>
      <c r="D90" s="76">
        <v>30558.946524444706</v>
      </c>
      <c r="E90" s="76">
        <v>0.79</v>
      </c>
      <c r="F90" s="76">
        <f>D90*E90</f>
        <v>24141.56775431132</v>
      </c>
    </row>
    <row r="91" spans="2:8" x14ac:dyDescent="0.25">
      <c r="B91" s="305"/>
      <c r="C91" s="63" t="s">
        <v>85</v>
      </c>
      <c r="D91" s="76">
        <v>152794.73262222353</v>
      </c>
      <c r="E91" s="76">
        <v>0.42</v>
      </c>
      <c r="F91" s="76">
        <f>D91*E91</f>
        <v>64173.78770133388</v>
      </c>
    </row>
    <row r="92" spans="2:8" x14ac:dyDescent="0.25">
      <c r="B92" s="305"/>
      <c r="C92" s="63" t="s">
        <v>82</v>
      </c>
      <c r="D92" s="76">
        <v>45838.419786667058</v>
      </c>
      <c r="E92" s="76">
        <v>0.86750000000000005</v>
      </c>
      <c r="F92" s="76">
        <f>D92*E92</f>
        <v>39764.829164933675</v>
      </c>
    </row>
    <row r="93" spans="2:8" ht="25.5" customHeight="1" x14ac:dyDescent="0.25">
      <c r="B93" s="305"/>
      <c r="C93" s="63" t="s">
        <v>86</v>
      </c>
      <c r="D93" s="76">
        <v>76397.366311111764</v>
      </c>
      <c r="E93" s="76">
        <v>0.84750000000000003</v>
      </c>
      <c r="F93" s="76">
        <f>D93*E93</f>
        <v>64746.76794866722</v>
      </c>
    </row>
    <row r="94" spans="2:8" ht="27.75" customHeight="1" x14ac:dyDescent="0.25">
      <c r="B94" s="305"/>
      <c r="C94" s="64" t="str">
        <f>+'COSTOS A PRECIOS MERCADO'!B23</f>
        <v>CONSTRUCCION DE CENTRAL DE GASES</v>
      </c>
      <c r="D94" s="75">
        <f>+'COSTOS A PRECIOS MERCADO'!L23</f>
        <v>201784.35966244322</v>
      </c>
      <c r="E94" s="75"/>
      <c r="F94" s="75">
        <f>SUM(F95:F98)</f>
        <v>133709.22431241965</v>
      </c>
    </row>
    <row r="95" spans="2:8" x14ac:dyDescent="0.25">
      <c r="B95" s="305"/>
      <c r="C95" s="63" t="s">
        <v>76</v>
      </c>
      <c r="D95" s="76">
        <v>21190.051396579998</v>
      </c>
      <c r="E95" s="76">
        <v>0.79</v>
      </c>
      <c r="F95" s="76">
        <f>D95*E95</f>
        <v>16740.140603298198</v>
      </c>
    </row>
    <row r="96" spans="2:8" ht="25.5" customHeight="1" x14ac:dyDescent="0.25">
      <c r="B96" s="305"/>
      <c r="C96" s="63" t="s">
        <v>81</v>
      </c>
      <c r="D96" s="76">
        <v>105950.25698289987</v>
      </c>
      <c r="E96" s="76">
        <v>0.42</v>
      </c>
      <c r="F96" s="76">
        <f>D96*E96</f>
        <v>44499.10793281794</v>
      </c>
    </row>
    <row r="97" spans="2:8" x14ac:dyDescent="0.25">
      <c r="B97" s="305"/>
      <c r="C97" s="63" t="s">
        <v>82</v>
      </c>
      <c r="D97" s="76">
        <v>31785.077094869957</v>
      </c>
      <c r="E97" s="76">
        <v>0.86750000000000005</v>
      </c>
      <c r="F97" s="76">
        <f>D97*E97</f>
        <v>27573.554379799691</v>
      </c>
    </row>
    <row r="98" spans="2:8" ht="25.5" x14ac:dyDescent="0.25">
      <c r="B98" s="305"/>
      <c r="C98" s="63" t="s">
        <v>86</v>
      </c>
      <c r="D98" s="76">
        <v>52975.128491449934</v>
      </c>
      <c r="E98" s="76">
        <v>0.84750000000000003</v>
      </c>
      <c r="F98" s="76">
        <f>D98*E98</f>
        <v>44896.421396503822</v>
      </c>
    </row>
    <row r="99" spans="2:8" ht="25.5" customHeight="1" x14ac:dyDescent="0.25">
      <c r="B99" s="305"/>
      <c r="C99" s="64" t="str">
        <f>+'COSTOS A PRECIOS MERCADO'!B24</f>
        <v>CONSTRUCCION DE ALMACEN</v>
      </c>
      <c r="D99" s="75">
        <f>+'COSTOS A PRECIOS MERCADO'!L24</f>
        <v>359259.98752957251</v>
      </c>
      <c r="E99" s="75"/>
      <c r="F99" s="75">
        <f>SUM(F100:F103)</f>
        <v>238057.96613487171</v>
      </c>
      <c r="H99" s="137" t="e">
        <f>+SUM(#REF!)</f>
        <v>#REF!</v>
      </c>
    </row>
    <row r="100" spans="2:8" x14ac:dyDescent="0.25">
      <c r="B100" s="305"/>
      <c r="C100" s="63" t="s">
        <v>76</v>
      </c>
      <c r="D100" s="76">
        <v>37727.094474623089</v>
      </c>
      <c r="E100" s="76">
        <v>0.79</v>
      </c>
      <c r="F100" s="76">
        <f>+D100*E100</f>
        <v>29804.404634952243</v>
      </c>
    </row>
    <row r="101" spans="2:8" x14ac:dyDescent="0.25">
      <c r="B101" s="305"/>
      <c r="C101" s="63" t="s">
        <v>77</v>
      </c>
      <c r="D101" s="76">
        <v>188635.47237311545</v>
      </c>
      <c r="E101" s="76">
        <v>0.42</v>
      </c>
      <c r="F101" s="76">
        <f>+D101*E101</f>
        <v>79226.898396708493</v>
      </c>
    </row>
    <row r="102" spans="2:8" x14ac:dyDescent="0.25">
      <c r="B102" s="305"/>
      <c r="C102" s="63" t="s">
        <v>78</v>
      </c>
      <c r="D102" s="76">
        <v>56590.641711934637</v>
      </c>
      <c r="E102" s="76">
        <v>0.86750000000000005</v>
      </c>
      <c r="F102" s="76">
        <f>+D102*E102</f>
        <v>49092.381685103297</v>
      </c>
    </row>
    <row r="103" spans="2:8" ht="25.5" customHeight="1" x14ac:dyDescent="0.25">
      <c r="B103" s="305"/>
      <c r="C103" s="63" t="s">
        <v>79</v>
      </c>
      <c r="D103" s="76">
        <v>94317.736186557726</v>
      </c>
      <c r="E103" s="76">
        <v>0.84750000000000003</v>
      </c>
      <c r="F103" s="76">
        <f>+D103*E103</f>
        <v>79934.281418107683</v>
      </c>
    </row>
    <row r="104" spans="2:8" ht="25.5" customHeight="1" x14ac:dyDescent="0.25">
      <c r="B104" s="305"/>
      <c r="C104" s="64" t="str">
        <f>+'COSTOS A PRECIOS MERCADO'!B25</f>
        <v>CONSTRUCCION DE AREA DE MANTENIMIENTO</v>
      </c>
      <c r="D104" s="75">
        <f>+'COSTOS A PRECIOS MERCADO'!L25</f>
        <v>154481.79463771617</v>
      </c>
      <c r="E104" s="75"/>
      <c r="F104" s="75">
        <f>SUM(F105:F108)</f>
        <v>102364.92543799484</v>
      </c>
      <c r="H104" s="137">
        <f>+D99+D104+D109+D114</f>
        <v>1980420.6812567683</v>
      </c>
    </row>
    <row r="105" spans="2:8" x14ac:dyDescent="0.25">
      <c r="B105" s="305"/>
      <c r="C105" s="63" t="s">
        <v>76</v>
      </c>
      <c r="D105" s="76">
        <v>16222.650624087932</v>
      </c>
      <c r="E105" s="76">
        <v>0.79</v>
      </c>
      <c r="F105" s="76">
        <f>+D105*E105</f>
        <v>12815.893993029467</v>
      </c>
    </row>
    <row r="106" spans="2:8" ht="25.5" customHeight="1" x14ac:dyDescent="0.25">
      <c r="B106" s="305"/>
      <c r="C106" s="63" t="s">
        <v>85</v>
      </c>
      <c r="D106" s="76">
        <v>81113.253120439651</v>
      </c>
      <c r="E106" s="76">
        <v>0.42</v>
      </c>
      <c r="F106" s="76">
        <f>+D106*E106</f>
        <v>34067.566310584654</v>
      </c>
    </row>
    <row r="107" spans="2:8" x14ac:dyDescent="0.25">
      <c r="B107" s="305"/>
      <c r="C107" s="63" t="s">
        <v>82</v>
      </c>
      <c r="D107" s="76">
        <v>24333.975936131894</v>
      </c>
      <c r="E107" s="76">
        <v>0.86750000000000005</v>
      </c>
      <c r="F107" s="76">
        <f>+D107*E107</f>
        <v>21109.724124594421</v>
      </c>
    </row>
    <row r="108" spans="2:8" ht="25.5" x14ac:dyDescent="0.25">
      <c r="B108" s="305"/>
      <c r="C108" s="63" t="s">
        <v>83</v>
      </c>
      <c r="D108" s="76">
        <v>40556.626560219825</v>
      </c>
      <c r="E108" s="76">
        <v>0.84750000000000003</v>
      </c>
      <c r="F108" s="76">
        <f>+D108*E108</f>
        <v>34371.741009786303</v>
      </c>
    </row>
    <row r="109" spans="2:8" ht="38.25" customHeight="1" x14ac:dyDescent="0.25">
      <c r="B109" s="305"/>
      <c r="C109" s="64" t="str">
        <f>+'COSTOS A PRECIOS MERCADO'!B26</f>
        <v xml:space="preserve">CONSTRUCCION DE DEPOSITO DE RESIDUOS SOLIDOS </v>
      </c>
      <c r="D109" s="75">
        <f>+'COSTOS A PRECIOS MERCADO'!L26</f>
        <v>236812.20844657652</v>
      </c>
      <c r="E109" s="75"/>
      <c r="F109" s="75">
        <f>SUM(F110:F113)</f>
        <v>156919.8760105696</v>
      </c>
    </row>
    <row r="110" spans="2:8" x14ac:dyDescent="0.25">
      <c r="B110" s="305"/>
      <c r="C110" s="63" t="s">
        <v>76</v>
      </c>
      <c r="D110" s="76">
        <v>24868.443107855725</v>
      </c>
      <c r="E110" s="76">
        <v>0.79</v>
      </c>
      <c r="F110" s="76">
        <f>D110*E110</f>
        <v>19646.070055206023</v>
      </c>
    </row>
    <row r="111" spans="2:8" x14ac:dyDescent="0.25">
      <c r="B111" s="305"/>
      <c r="C111" s="63" t="s">
        <v>85</v>
      </c>
      <c r="D111" s="76">
        <v>124342.21553927861</v>
      </c>
      <c r="E111" s="76">
        <v>0.42</v>
      </c>
      <c r="F111" s="76">
        <f>D111*E111</f>
        <v>52223.730526497013</v>
      </c>
    </row>
    <row r="112" spans="2:8" x14ac:dyDescent="0.25">
      <c r="B112" s="305"/>
      <c r="C112" s="63" t="s">
        <v>82</v>
      </c>
      <c r="D112" s="76">
        <v>37302.66466178358</v>
      </c>
      <c r="E112" s="76">
        <v>0.86750000000000005</v>
      </c>
      <c r="F112" s="76">
        <f>D112*E112</f>
        <v>32360.061594097257</v>
      </c>
    </row>
    <row r="113" spans="2:9" ht="25.5" customHeight="1" x14ac:dyDescent="0.25">
      <c r="B113" s="305"/>
      <c r="C113" s="63" t="s">
        <v>86</v>
      </c>
      <c r="D113" s="76">
        <v>62171.107769639304</v>
      </c>
      <c r="E113" s="76">
        <v>0.84750000000000003</v>
      </c>
      <c r="F113" s="76">
        <f>D113*E113</f>
        <v>52690.013834769314</v>
      </c>
    </row>
    <row r="114" spans="2:9" ht="27.75" customHeight="1" x14ac:dyDescent="0.25">
      <c r="B114" s="305"/>
      <c r="C114" s="64" t="str">
        <f>+'COSTOS A PRECIOS MERCADO'!B27</f>
        <v>CONSTRUCCION AMBIENTE DE RESIDENCIA</v>
      </c>
      <c r="D114" s="75">
        <f>+'COSTOS A PRECIOS MERCADO'!L27</f>
        <v>1229866.6906429031</v>
      </c>
      <c r="E114" s="75"/>
      <c r="F114" s="75">
        <f>SUM(F115:F118)</f>
        <v>814951.77073504427</v>
      </c>
    </row>
    <row r="115" spans="2:9" x14ac:dyDescent="0.25">
      <c r="B115" s="305"/>
      <c r="C115" s="63" t="s">
        <v>76</v>
      </c>
      <c r="D115" s="76">
        <v>129152.42008479308</v>
      </c>
      <c r="E115" s="76">
        <v>0.79</v>
      </c>
      <c r="F115" s="76">
        <f>D115*E115</f>
        <v>102030.41186698654</v>
      </c>
    </row>
    <row r="116" spans="2:9" ht="25.5" customHeight="1" x14ac:dyDescent="0.25">
      <c r="B116" s="305"/>
      <c r="C116" s="63" t="s">
        <v>81</v>
      </c>
      <c r="D116" s="76">
        <v>645762.10042396537</v>
      </c>
      <c r="E116" s="76">
        <v>0.42</v>
      </c>
      <c r="F116" s="76">
        <f>D116*E116</f>
        <v>271220.08217806544</v>
      </c>
    </row>
    <row r="117" spans="2:9" x14ac:dyDescent="0.25">
      <c r="B117" s="305"/>
      <c r="C117" s="63" t="s">
        <v>82</v>
      </c>
      <c r="D117" s="76">
        <v>193728.63012718959</v>
      </c>
      <c r="E117" s="76">
        <v>0.86750000000000005</v>
      </c>
      <c r="F117" s="76">
        <f>D117*E117</f>
        <v>168059.58663533698</v>
      </c>
    </row>
    <row r="118" spans="2:9" ht="25.5" x14ac:dyDescent="0.25">
      <c r="B118" s="305"/>
      <c r="C118" s="63" t="s">
        <v>86</v>
      </c>
      <c r="D118" s="76">
        <v>322881.05021198269</v>
      </c>
      <c r="E118" s="76">
        <v>0.84750000000000003</v>
      </c>
      <c r="F118" s="76">
        <f>D118*E118</f>
        <v>273641.69005465531</v>
      </c>
    </row>
    <row r="119" spans="2:9" ht="38.25" customHeight="1" x14ac:dyDescent="0.25">
      <c r="B119" s="305"/>
      <c r="C119" s="64" t="str">
        <f>+'COSTOS A PRECIOS MERCADO'!B28</f>
        <v>CONSTRUCCION DE CENTRTAL DE VIGILANCIA Y SEGURIDAD</v>
      </c>
      <c r="D119" s="75">
        <f>+'COSTOS A PRECIOS MERCADO'!L28</f>
        <v>219897.05070039313</v>
      </c>
      <c r="E119" s="75"/>
      <c r="F119" s="75">
        <f>SUM(F120:F124)</f>
        <v>145711.31343838607</v>
      </c>
    </row>
    <row r="120" spans="2:9" x14ac:dyDescent="0.25">
      <c r="B120" s="305"/>
      <c r="C120" s="63" t="s">
        <v>76</v>
      </c>
      <c r="D120" s="76">
        <v>23092.125743008888</v>
      </c>
      <c r="E120" s="76">
        <v>0.79</v>
      </c>
      <c r="F120" s="76">
        <f>D120*E120</f>
        <v>18242.779336977022</v>
      </c>
    </row>
    <row r="121" spans="2:9" x14ac:dyDescent="0.25">
      <c r="B121" s="305"/>
      <c r="C121" s="63" t="s">
        <v>85</v>
      </c>
      <c r="D121" s="76">
        <v>115460.62871504444</v>
      </c>
      <c r="E121" s="76">
        <v>0.42</v>
      </c>
      <c r="F121" s="76">
        <f>D121*E121</f>
        <v>48493.464060318664</v>
      </c>
    </row>
    <row r="122" spans="2:9" x14ac:dyDescent="0.25">
      <c r="B122" s="305"/>
      <c r="C122" s="63" t="s">
        <v>82</v>
      </c>
      <c r="D122" s="76">
        <v>34638.188614513332</v>
      </c>
      <c r="E122" s="76">
        <v>0.86750000000000005</v>
      </c>
      <c r="F122" s="76">
        <f>D122*E122</f>
        <v>30048.628623090317</v>
      </c>
    </row>
    <row r="123" spans="2:9" ht="25.5" customHeight="1" x14ac:dyDescent="0.25">
      <c r="B123" s="305"/>
      <c r="C123" s="63" t="s">
        <v>86</v>
      </c>
      <c r="D123" s="76">
        <v>57730.31435752222</v>
      </c>
      <c r="E123" s="76">
        <v>0.84750000000000003</v>
      </c>
      <c r="F123" s="76">
        <f>D123*E123</f>
        <v>48926.441418000082</v>
      </c>
    </row>
    <row r="124" spans="2:9" x14ac:dyDescent="0.25">
      <c r="B124" s="305"/>
      <c r="C124" s="66" t="s">
        <v>84</v>
      </c>
      <c r="D124" s="76"/>
      <c r="E124" s="67"/>
      <c r="F124" s="77"/>
    </row>
    <row r="125" spans="2:9" ht="38.25" customHeight="1" x14ac:dyDescent="0.25">
      <c r="B125" s="305"/>
      <c r="C125" s="64" t="s">
        <v>473</v>
      </c>
      <c r="D125" s="75">
        <f>+'COSTOS A PRECIOS MERCADO'!L29</f>
        <v>1245097.4723875993</v>
      </c>
      <c r="E125" s="75"/>
      <c r="F125" s="75">
        <f>SUM(F126:F130)</f>
        <v>785656.50507657509</v>
      </c>
    </row>
    <row r="126" spans="2:9" x14ac:dyDescent="0.25">
      <c r="B126" s="305"/>
      <c r="C126" s="63" t="s">
        <v>76</v>
      </c>
      <c r="D126" s="76">
        <v>124509.74723875994</v>
      </c>
      <c r="E126" s="76">
        <v>0.79</v>
      </c>
      <c r="F126" s="76">
        <f>D126*E126</f>
        <v>98362.700318620351</v>
      </c>
      <c r="I126" s="137"/>
    </row>
    <row r="127" spans="2:9" x14ac:dyDescent="0.25">
      <c r="B127" s="305"/>
      <c r="C127" s="63" t="s">
        <v>85</v>
      </c>
      <c r="D127" s="76">
        <v>622548.73619379965</v>
      </c>
      <c r="E127" s="76">
        <v>0.42</v>
      </c>
      <c r="F127" s="76">
        <f>D127*E127</f>
        <v>261470.46920139584</v>
      </c>
    </row>
    <row r="128" spans="2:9" x14ac:dyDescent="0.25">
      <c r="B128" s="305"/>
      <c r="C128" s="63" t="s">
        <v>82</v>
      </c>
      <c r="D128" s="76">
        <v>186764.62085813988</v>
      </c>
      <c r="E128" s="76">
        <v>0.86750000000000005</v>
      </c>
      <c r="F128" s="76">
        <f>D128*E128</f>
        <v>162018.30859443636</v>
      </c>
    </row>
    <row r="129" spans="2:6" ht="25.5" customHeight="1" x14ac:dyDescent="0.25">
      <c r="B129" s="305"/>
      <c r="C129" s="63" t="s">
        <v>86</v>
      </c>
      <c r="D129" s="76">
        <v>311274.36809689982</v>
      </c>
      <c r="E129" s="76">
        <v>0.84750000000000003</v>
      </c>
      <c r="F129" s="76">
        <f>D129*E129</f>
        <v>263805.02696212259</v>
      </c>
    </row>
    <row r="130" spans="2:6" x14ac:dyDescent="0.25">
      <c r="B130" s="306"/>
      <c r="C130" s="66" t="s">
        <v>84</v>
      </c>
      <c r="D130" s="76"/>
      <c r="E130" s="67"/>
      <c r="F130" s="77"/>
    </row>
    <row r="131" spans="2:6" ht="38.25" x14ac:dyDescent="0.25">
      <c r="B131" s="304" t="s">
        <v>461</v>
      </c>
      <c r="C131" s="64" t="s">
        <v>472</v>
      </c>
      <c r="D131" s="75">
        <f>+'COSTOS A PRECIOS MERCADO'!L30</f>
        <v>5095849.6450930601</v>
      </c>
      <c r="E131" s="73"/>
      <c r="F131" s="73">
        <f>SUM(F132:F135)</f>
        <v>4420649.5671182303</v>
      </c>
    </row>
    <row r="132" spans="2:6" x14ac:dyDescent="0.25">
      <c r="B132" s="305"/>
      <c r="C132" s="63" t="s">
        <v>76</v>
      </c>
      <c r="D132" s="139"/>
      <c r="E132" s="76">
        <v>0.79</v>
      </c>
      <c r="F132" s="67"/>
    </row>
    <row r="133" spans="2:6" x14ac:dyDescent="0.25">
      <c r="B133" s="305"/>
      <c r="C133" s="63" t="s">
        <v>81</v>
      </c>
      <c r="D133" s="139"/>
      <c r="E133" s="76">
        <v>0.42</v>
      </c>
      <c r="F133" s="67"/>
    </row>
    <row r="134" spans="2:6" x14ac:dyDescent="0.25">
      <c r="B134" s="305"/>
      <c r="C134" s="63" t="s">
        <v>82</v>
      </c>
      <c r="D134" s="76">
        <f>+D131</f>
        <v>5095849.6450930601</v>
      </c>
      <c r="E134" s="76">
        <v>0.86750000000000005</v>
      </c>
      <c r="F134" s="76">
        <f>D134*E134</f>
        <v>4420649.5671182303</v>
      </c>
    </row>
    <row r="135" spans="2:6" ht="25.5" x14ac:dyDescent="0.25">
      <c r="B135" s="305"/>
      <c r="C135" s="63" t="s">
        <v>86</v>
      </c>
      <c r="D135" s="139"/>
      <c r="E135" s="76">
        <v>0.84750000000000003</v>
      </c>
      <c r="F135" s="77"/>
    </row>
    <row r="136" spans="2:6" x14ac:dyDescent="0.25">
      <c r="B136" s="304" t="s">
        <v>272</v>
      </c>
      <c r="C136" s="304"/>
      <c r="D136" s="146">
        <f>+D137</f>
        <v>360000</v>
      </c>
      <c r="E136" s="72"/>
      <c r="F136" s="72">
        <f>+F137</f>
        <v>284400</v>
      </c>
    </row>
    <row r="137" spans="2:6" x14ac:dyDescent="0.25">
      <c r="B137" s="308" t="s">
        <v>80</v>
      </c>
      <c r="C137" s="309"/>
      <c r="D137" s="76">
        <f>+'COSTOS A PRECIOS MERCADO'!L32</f>
        <v>360000</v>
      </c>
      <c r="E137" s="76">
        <v>0.79</v>
      </c>
      <c r="F137" s="70">
        <f>D137*E137</f>
        <v>284400</v>
      </c>
    </row>
    <row r="138" spans="2:6" x14ac:dyDescent="0.25">
      <c r="B138" s="304" t="s">
        <v>458</v>
      </c>
      <c r="C138" s="304"/>
      <c r="D138" s="146">
        <f>+D139</f>
        <v>150000</v>
      </c>
      <c r="E138" s="72"/>
      <c r="F138" s="72">
        <f>+F139</f>
        <v>118500</v>
      </c>
    </row>
    <row r="139" spans="2:6" x14ac:dyDescent="0.25">
      <c r="B139" s="308" t="s">
        <v>80</v>
      </c>
      <c r="C139" s="309"/>
      <c r="D139" s="76">
        <f>+'COSTOS A PRECIOS MERCADO'!L33</f>
        <v>150000</v>
      </c>
      <c r="E139" s="76">
        <v>0.79</v>
      </c>
      <c r="F139" s="70">
        <f>D139*E139</f>
        <v>118500</v>
      </c>
    </row>
    <row r="140" spans="2:6" x14ac:dyDescent="0.25">
      <c r="B140" s="304" t="s">
        <v>74</v>
      </c>
      <c r="C140" s="304"/>
      <c r="D140" s="146">
        <f>+D141</f>
        <v>1167203.32</v>
      </c>
      <c r="E140" s="72"/>
      <c r="F140" s="72">
        <f>+F141</f>
        <v>922090.62280000013</v>
      </c>
    </row>
    <row r="141" spans="2:6" x14ac:dyDescent="0.25">
      <c r="B141" s="308" t="s">
        <v>80</v>
      </c>
      <c r="C141" s="309"/>
      <c r="D141" s="76">
        <f>+'COSTOS A PRECIOS MERCADO'!L34</f>
        <v>1167203.32</v>
      </c>
      <c r="E141" s="76">
        <v>0.79</v>
      </c>
      <c r="F141" s="70">
        <f>D141*E141</f>
        <v>922090.62280000013</v>
      </c>
    </row>
    <row r="142" spans="2:6" x14ac:dyDescent="0.25">
      <c r="B142" s="304" t="s">
        <v>460</v>
      </c>
      <c r="C142" s="304"/>
      <c r="D142" s="146">
        <f>+D143</f>
        <v>657075.86750800034</v>
      </c>
      <c r="E142" s="72"/>
      <c r="F142" s="72">
        <f>+F143</f>
        <v>519089.93533132027</v>
      </c>
    </row>
    <row r="143" spans="2:6" x14ac:dyDescent="0.25">
      <c r="B143" s="308" t="s">
        <v>80</v>
      </c>
      <c r="C143" s="309"/>
      <c r="D143" s="76">
        <f>+'COSTOS A PRECIOS MERCADO'!L36</f>
        <v>657075.86750800034</v>
      </c>
      <c r="E143" s="76">
        <v>0.79</v>
      </c>
      <c r="F143" s="70">
        <f>D143*E143</f>
        <v>519089.93533132027</v>
      </c>
    </row>
    <row r="144" spans="2:6" x14ac:dyDescent="0.25">
      <c r="B144" s="298" t="s">
        <v>75</v>
      </c>
      <c r="C144" s="298"/>
      <c r="D144" s="209">
        <f>+D131+D119+D114+D109+D104+D99+D94+D89+D84+D79+D74+D69+D64+D59+D54+D49+D44+D39+D34+D29+D24+D19+D14+D9+D4+D136+D138+D140+D142+D125</f>
        <v>33510869.242908008</v>
      </c>
      <c r="E144" s="73"/>
      <c r="F144" s="209">
        <f>+F4+F9+F14+F19+F24+F29+F34+F39+F44+F49+F54+F59+F64+F69+F74+F79+F84+F89+F94+F99+F104+F109+F114+F119+F131+F136+F138+F140+F142+F125</f>
        <v>23507333.829229806</v>
      </c>
    </row>
    <row r="149" spans="4:4" x14ac:dyDescent="0.25">
      <c r="D149" s="1">
        <f>+'COSTOS A PRECIOS MERCADO'!L37</f>
        <v>33510869.242908016</v>
      </c>
    </row>
  </sheetData>
  <mergeCells count="13">
    <mergeCell ref="B143:C143"/>
    <mergeCell ref="B142:C142"/>
    <mergeCell ref="B144:C144"/>
    <mergeCell ref="B131:B135"/>
    <mergeCell ref="B140:C140"/>
    <mergeCell ref="B141:C141"/>
    <mergeCell ref="B138:C138"/>
    <mergeCell ref="B139:C139"/>
    <mergeCell ref="B136:C136"/>
    <mergeCell ref="B137:C137"/>
    <mergeCell ref="B1:F1"/>
    <mergeCell ref="B2:F2"/>
    <mergeCell ref="B4:B13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O66"/>
  <sheetViews>
    <sheetView topLeftCell="A38" workbookViewId="0">
      <selection activeCell="Q49" sqref="Q49"/>
    </sheetView>
  </sheetViews>
  <sheetFormatPr baseColWidth="10" defaultRowHeight="15" x14ac:dyDescent="0.25"/>
  <cols>
    <col min="2" max="2" width="26.140625" customWidth="1"/>
    <col min="5" max="5" width="13.7109375" customWidth="1"/>
    <col min="6" max="6" width="12" bestFit="1" customWidth="1"/>
    <col min="8" max="8" width="26.7109375" customWidth="1"/>
    <col min="12" max="12" width="12" bestFit="1" customWidth="1"/>
    <col min="14" max="14" width="12" bestFit="1" customWidth="1"/>
  </cols>
  <sheetData>
    <row r="2" spans="2:14" ht="39.75" customHeight="1" x14ac:dyDescent="0.25">
      <c r="B2" s="239" t="s">
        <v>475</v>
      </c>
      <c r="C2" s="239"/>
      <c r="D2" s="239"/>
      <c r="E2" s="239"/>
      <c r="F2" s="239"/>
      <c r="H2" s="249" t="s">
        <v>477</v>
      </c>
      <c r="I2" s="250"/>
      <c r="J2" s="250"/>
      <c r="K2" s="250"/>
      <c r="L2" s="250"/>
      <c r="M2" s="250"/>
      <c r="N2" s="251"/>
    </row>
    <row r="3" spans="2:14" ht="38.25" x14ac:dyDescent="0.25">
      <c r="B3" s="60" t="s">
        <v>89</v>
      </c>
      <c r="C3" s="60" t="s">
        <v>90</v>
      </c>
      <c r="D3" s="60" t="s">
        <v>91</v>
      </c>
      <c r="E3" s="60" t="s">
        <v>92</v>
      </c>
      <c r="F3" s="60" t="s">
        <v>112</v>
      </c>
      <c r="H3" s="60" t="s">
        <v>89</v>
      </c>
      <c r="I3" s="60" t="s">
        <v>90</v>
      </c>
      <c r="J3" s="60" t="s">
        <v>91</v>
      </c>
      <c r="K3" s="60" t="s">
        <v>92</v>
      </c>
      <c r="L3" s="60" t="s">
        <v>115</v>
      </c>
      <c r="M3" s="60" t="s">
        <v>113</v>
      </c>
      <c r="N3" s="60" t="s">
        <v>114</v>
      </c>
    </row>
    <row r="4" spans="2:14" ht="27" customHeight="1" x14ac:dyDescent="0.25">
      <c r="B4" s="314" t="s">
        <v>93</v>
      </c>
      <c r="C4" s="314"/>
      <c r="D4" s="314"/>
      <c r="E4" s="314"/>
      <c r="F4" s="322">
        <f>F5+F10+F13+F15</f>
        <v>150800</v>
      </c>
      <c r="H4" s="314" t="s">
        <v>93</v>
      </c>
      <c r="I4" s="314"/>
      <c r="J4" s="314"/>
      <c r="K4" s="314"/>
      <c r="L4" s="322">
        <f>L5+L10+L13+L15</f>
        <v>150800</v>
      </c>
      <c r="M4" s="82"/>
      <c r="N4" s="322">
        <f>N5+N10+N13+N15</f>
        <v>120558</v>
      </c>
    </row>
    <row r="5" spans="2:14" ht="21.75" customHeight="1" x14ac:dyDescent="0.25">
      <c r="B5" s="312" t="s">
        <v>100</v>
      </c>
      <c r="C5" s="313"/>
      <c r="D5" s="313"/>
      <c r="E5" s="313"/>
      <c r="F5" s="323">
        <f>SUM(F7:F9)</f>
        <v>126000</v>
      </c>
      <c r="H5" s="312" t="s">
        <v>100</v>
      </c>
      <c r="I5" s="313"/>
      <c r="J5" s="313"/>
      <c r="K5" s="313"/>
      <c r="L5" s="323">
        <f>SUM(L7:L9)</f>
        <v>126000</v>
      </c>
      <c r="M5" s="60"/>
      <c r="N5" s="323">
        <f>SUM(N7:N9)</f>
        <v>99540</v>
      </c>
    </row>
    <row r="6" spans="2:14" x14ac:dyDescent="0.25">
      <c r="B6" s="53" t="s">
        <v>463</v>
      </c>
      <c r="C6" s="53" t="s">
        <v>94</v>
      </c>
      <c r="D6" s="53">
        <v>1</v>
      </c>
      <c r="E6" s="53">
        <v>6500</v>
      </c>
      <c r="F6" s="324">
        <f>+D6*E6*12</f>
        <v>78000</v>
      </c>
      <c r="H6" s="53" t="s">
        <v>463</v>
      </c>
      <c r="I6" s="53" t="s">
        <v>94</v>
      </c>
      <c r="J6" s="53">
        <v>1</v>
      </c>
      <c r="K6" s="53">
        <v>6500</v>
      </c>
      <c r="L6" s="324">
        <f>+K6*J6*12</f>
        <v>78000</v>
      </c>
      <c r="M6" s="53">
        <v>0.79</v>
      </c>
      <c r="N6" s="324">
        <f>+L6*M6</f>
        <v>61620</v>
      </c>
    </row>
    <row r="7" spans="2:14" x14ac:dyDescent="0.25">
      <c r="B7" s="53" t="s">
        <v>109</v>
      </c>
      <c r="C7" s="53" t="s">
        <v>94</v>
      </c>
      <c r="D7" s="53">
        <v>1</v>
      </c>
      <c r="E7" s="53">
        <v>3500</v>
      </c>
      <c r="F7" s="324">
        <f>E7*12</f>
        <v>42000</v>
      </c>
      <c r="H7" s="53" t="s">
        <v>109</v>
      </c>
      <c r="I7" s="53" t="s">
        <v>94</v>
      </c>
      <c r="J7" s="53">
        <v>1</v>
      </c>
      <c r="K7" s="53">
        <v>3500</v>
      </c>
      <c r="L7" s="324">
        <f>K7*12</f>
        <v>42000</v>
      </c>
      <c r="M7" s="53">
        <v>0.79</v>
      </c>
      <c r="N7" s="324">
        <f>L7*M7</f>
        <v>33180</v>
      </c>
    </row>
    <row r="8" spans="2:14" x14ac:dyDescent="0.25">
      <c r="B8" s="53" t="s">
        <v>110</v>
      </c>
      <c r="C8" s="53" t="s">
        <v>94</v>
      </c>
      <c r="D8" s="53">
        <v>1</v>
      </c>
      <c r="E8" s="53">
        <f>2800</f>
        <v>2800</v>
      </c>
      <c r="F8" s="324">
        <f>E8*12</f>
        <v>33600</v>
      </c>
      <c r="H8" s="53" t="s">
        <v>110</v>
      </c>
      <c r="I8" s="53" t="s">
        <v>94</v>
      </c>
      <c r="J8" s="53">
        <v>1</v>
      </c>
      <c r="K8" s="53">
        <v>2800</v>
      </c>
      <c r="L8" s="324">
        <f>K8*12</f>
        <v>33600</v>
      </c>
      <c r="M8" s="53">
        <v>0.79</v>
      </c>
      <c r="N8" s="324">
        <f>L8*M8</f>
        <v>26544</v>
      </c>
    </row>
    <row r="9" spans="2:14" x14ac:dyDescent="0.25">
      <c r="B9" s="53" t="s">
        <v>111</v>
      </c>
      <c r="C9" s="53" t="s">
        <v>94</v>
      </c>
      <c r="D9" s="53">
        <v>2</v>
      </c>
      <c r="E9" s="53">
        <v>2100</v>
      </c>
      <c r="F9" s="324">
        <f>E9*12*D9</f>
        <v>50400</v>
      </c>
      <c r="H9" s="53" t="s">
        <v>111</v>
      </c>
      <c r="I9" s="53" t="s">
        <v>94</v>
      </c>
      <c r="J9" s="53">
        <v>2</v>
      </c>
      <c r="K9" s="53">
        <v>2100</v>
      </c>
      <c r="L9" s="324">
        <f>K9*12*2</f>
        <v>50400</v>
      </c>
      <c r="M9" s="53">
        <v>0.79</v>
      </c>
      <c r="N9" s="324">
        <f>L9*M9</f>
        <v>39816</v>
      </c>
    </row>
    <row r="10" spans="2:14" ht="21.75" customHeight="1" x14ac:dyDescent="0.25">
      <c r="B10" s="312" t="s">
        <v>60</v>
      </c>
      <c r="C10" s="313"/>
      <c r="D10" s="313"/>
      <c r="E10" s="313"/>
      <c r="F10" s="323">
        <f>SUM(F11:F12)</f>
        <v>600</v>
      </c>
      <c r="H10" s="312" t="s">
        <v>60</v>
      </c>
      <c r="I10" s="313"/>
      <c r="J10" s="313"/>
      <c r="K10" s="313"/>
      <c r="L10" s="323">
        <f>SUM(L11:L12)</f>
        <v>600</v>
      </c>
      <c r="M10" s="60"/>
      <c r="N10" s="323">
        <f>SUM(N11:N12)</f>
        <v>508.5</v>
      </c>
    </row>
    <row r="11" spans="2:14" ht="25.5" x14ac:dyDescent="0.25">
      <c r="B11" s="53" t="s">
        <v>101</v>
      </c>
      <c r="C11" s="53" t="s">
        <v>118</v>
      </c>
      <c r="D11" s="53">
        <v>12</v>
      </c>
      <c r="E11" s="53">
        <v>0</v>
      </c>
      <c r="F11" s="324">
        <f>D11*E11</f>
        <v>0</v>
      </c>
      <c r="H11" s="53" t="s">
        <v>101</v>
      </c>
      <c r="I11" s="53" t="s">
        <v>118</v>
      </c>
      <c r="J11" s="53">
        <v>12</v>
      </c>
      <c r="K11" s="53">
        <v>0</v>
      </c>
      <c r="L11" s="324">
        <f>J11*K11</f>
        <v>0</v>
      </c>
      <c r="M11" s="53">
        <v>0.84750000000000003</v>
      </c>
      <c r="N11" s="324">
        <f>L11*M11</f>
        <v>0</v>
      </c>
    </row>
    <row r="12" spans="2:14" ht="25.5" customHeight="1" x14ac:dyDescent="0.25">
      <c r="B12" s="53" t="s">
        <v>102</v>
      </c>
      <c r="C12" s="53" t="s">
        <v>118</v>
      </c>
      <c r="D12" s="53">
        <v>12</v>
      </c>
      <c r="E12" s="53">
        <v>50</v>
      </c>
      <c r="F12" s="324">
        <f>D12*E12</f>
        <v>600</v>
      </c>
      <c r="H12" s="53" t="s">
        <v>102</v>
      </c>
      <c r="I12" s="53" t="s">
        <v>118</v>
      </c>
      <c r="J12" s="53">
        <v>12</v>
      </c>
      <c r="K12" s="53">
        <v>50</v>
      </c>
      <c r="L12" s="324">
        <f>J12*K12</f>
        <v>600</v>
      </c>
      <c r="M12" s="53">
        <v>0.84750000000000003</v>
      </c>
      <c r="N12" s="324">
        <f>L12*M12</f>
        <v>508.5</v>
      </c>
    </row>
    <row r="13" spans="2:14" ht="21.75" customHeight="1" x14ac:dyDescent="0.25">
      <c r="B13" s="79" t="s">
        <v>103</v>
      </c>
      <c r="C13" s="80"/>
      <c r="D13" s="80"/>
      <c r="E13" s="80"/>
      <c r="F13" s="323">
        <f>F14</f>
        <v>18000</v>
      </c>
      <c r="H13" s="79" t="s">
        <v>103</v>
      </c>
      <c r="I13" s="80"/>
      <c r="J13" s="80"/>
      <c r="K13" s="80"/>
      <c r="L13" s="323">
        <f>L14</f>
        <v>18000</v>
      </c>
      <c r="M13" s="60"/>
      <c r="N13" s="323">
        <f>N14</f>
        <v>15255</v>
      </c>
    </row>
    <row r="14" spans="2:14" ht="25.5" customHeight="1" x14ac:dyDescent="0.25">
      <c r="B14" s="53" t="s">
        <v>95</v>
      </c>
      <c r="C14" s="53" t="s">
        <v>464</v>
      </c>
      <c r="D14" s="53">
        <v>1</v>
      </c>
      <c r="E14" s="53">
        <v>18000</v>
      </c>
      <c r="F14" s="324">
        <f>D14*E14</f>
        <v>18000</v>
      </c>
      <c r="H14" s="53" t="s">
        <v>95</v>
      </c>
      <c r="I14" s="53" t="s">
        <v>464</v>
      </c>
      <c r="J14" s="53">
        <v>1</v>
      </c>
      <c r="K14" s="53">
        <v>18000</v>
      </c>
      <c r="L14" s="324">
        <f>J14*K14</f>
        <v>18000</v>
      </c>
      <c r="M14" s="53">
        <v>0.84750000000000003</v>
      </c>
      <c r="N14" s="324">
        <f>L14*M14</f>
        <v>15255</v>
      </c>
    </row>
    <row r="15" spans="2:14" ht="21.75" customHeight="1" x14ac:dyDescent="0.25">
      <c r="B15" s="79" t="s">
        <v>104</v>
      </c>
      <c r="C15" s="80"/>
      <c r="D15" s="80"/>
      <c r="E15" s="80"/>
      <c r="F15" s="323">
        <f>SUM(F16:F17)</f>
        <v>6200</v>
      </c>
      <c r="H15" s="79" t="s">
        <v>104</v>
      </c>
      <c r="I15" s="80"/>
      <c r="J15" s="80"/>
      <c r="K15" s="80"/>
      <c r="L15" s="323">
        <f>SUM(L16:L17)</f>
        <v>6200</v>
      </c>
      <c r="M15" s="60"/>
      <c r="N15" s="323">
        <f>SUM(N16:N17)</f>
        <v>5254.5</v>
      </c>
    </row>
    <row r="16" spans="2:14" ht="25.5" customHeight="1" x14ac:dyDescent="0.25">
      <c r="B16" s="53" t="s">
        <v>105</v>
      </c>
      <c r="C16" s="53" t="s">
        <v>117</v>
      </c>
      <c r="D16" s="53">
        <v>4</v>
      </c>
      <c r="E16" s="53">
        <v>200</v>
      </c>
      <c r="F16" s="324">
        <f>D16*E16</f>
        <v>800</v>
      </c>
      <c r="H16" s="53" t="s">
        <v>105</v>
      </c>
      <c r="I16" s="53" t="s">
        <v>117</v>
      </c>
      <c r="J16" s="53">
        <v>4</v>
      </c>
      <c r="K16" s="53">
        <v>200</v>
      </c>
      <c r="L16" s="324">
        <f>J16*K16</f>
        <v>800</v>
      </c>
      <c r="M16" s="53">
        <v>0.84750000000000003</v>
      </c>
      <c r="N16" s="324">
        <f>L16*M16</f>
        <v>678</v>
      </c>
    </row>
    <row r="17" spans="2:14" ht="25.5" customHeight="1" x14ac:dyDescent="0.25">
      <c r="B17" s="53" t="s">
        <v>116</v>
      </c>
      <c r="C17" s="53" t="s">
        <v>118</v>
      </c>
      <c r="D17" s="53">
        <v>12</v>
      </c>
      <c r="E17" s="53">
        <v>450</v>
      </c>
      <c r="F17" s="324">
        <f>D17*E17</f>
        <v>5400</v>
      </c>
      <c r="H17" s="53" t="s">
        <v>116</v>
      </c>
      <c r="I17" s="53" t="s">
        <v>118</v>
      </c>
      <c r="J17" s="53">
        <v>12</v>
      </c>
      <c r="K17" s="53">
        <v>450</v>
      </c>
      <c r="L17" s="324">
        <f>J17*K17</f>
        <v>5400</v>
      </c>
      <c r="M17" s="53">
        <v>0.84750000000000003</v>
      </c>
      <c r="N17" s="324">
        <f>L17*M17</f>
        <v>4576.5</v>
      </c>
    </row>
    <row r="18" spans="2:14" ht="27" customHeight="1" x14ac:dyDescent="0.25">
      <c r="B18" s="314" t="s">
        <v>96</v>
      </c>
      <c r="C18" s="314"/>
      <c r="D18" s="314"/>
      <c r="E18" s="314"/>
      <c r="F18" s="322">
        <f>SUM(F19+F21)</f>
        <v>0</v>
      </c>
      <c r="H18" s="314" t="s">
        <v>96</v>
      </c>
      <c r="I18" s="314"/>
      <c r="J18" s="314"/>
      <c r="K18" s="314"/>
      <c r="L18" s="322">
        <f>L19+L21</f>
        <v>0</v>
      </c>
      <c r="M18" s="82"/>
      <c r="N18" s="322">
        <f>N19+N21</f>
        <v>0</v>
      </c>
    </row>
    <row r="19" spans="2:14" ht="21.75" customHeight="1" x14ac:dyDescent="0.25">
      <c r="B19" s="312" t="s">
        <v>73</v>
      </c>
      <c r="C19" s="313"/>
      <c r="D19" s="313"/>
      <c r="E19" s="313"/>
      <c r="F19" s="323">
        <v>0</v>
      </c>
      <c r="H19" s="312" t="s">
        <v>73</v>
      </c>
      <c r="I19" s="313"/>
      <c r="J19" s="313"/>
      <c r="K19" s="313"/>
      <c r="L19" s="327">
        <v>0</v>
      </c>
      <c r="M19" s="78"/>
      <c r="N19" s="327">
        <v>0</v>
      </c>
    </row>
    <row r="20" spans="2:14" ht="18" customHeight="1" x14ac:dyDescent="0.25">
      <c r="B20" s="53" t="s">
        <v>106</v>
      </c>
      <c r="C20" s="53" t="s">
        <v>467</v>
      </c>
      <c r="D20" s="53">
        <v>1</v>
      </c>
      <c r="E20" s="53">
        <v>0</v>
      </c>
      <c r="F20" s="324"/>
      <c r="H20" s="53" t="s">
        <v>106</v>
      </c>
      <c r="I20" s="53" t="s">
        <v>467</v>
      </c>
      <c r="J20" s="53">
        <v>1</v>
      </c>
      <c r="K20" s="53">
        <v>0</v>
      </c>
      <c r="L20" s="324">
        <v>0</v>
      </c>
      <c r="M20" s="53"/>
      <c r="N20" s="324"/>
    </row>
    <row r="21" spans="2:14" ht="21.75" customHeight="1" x14ac:dyDescent="0.25">
      <c r="B21" s="312" t="s">
        <v>107</v>
      </c>
      <c r="C21" s="313"/>
      <c r="D21" s="313"/>
      <c r="E21" s="313"/>
      <c r="F21" s="323">
        <v>0</v>
      </c>
      <c r="H21" s="312" t="s">
        <v>107</v>
      </c>
      <c r="I21" s="313"/>
      <c r="J21" s="313"/>
      <c r="K21" s="313"/>
      <c r="L21" s="327">
        <v>0</v>
      </c>
      <c r="M21" s="78"/>
      <c r="N21" s="327">
        <v>0</v>
      </c>
    </row>
    <row r="22" spans="2:14" ht="29.25" customHeight="1" thickBot="1" x14ac:dyDescent="0.3">
      <c r="B22" s="69" t="s">
        <v>108</v>
      </c>
      <c r="C22" s="69" t="s">
        <v>467</v>
      </c>
      <c r="D22" s="69">
        <v>1</v>
      </c>
      <c r="E22" s="69">
        <v>0</v>
      </c>
      <c r="F22" s="325"/>
      <c r="H22" s="69" t="s">
        <v>108</v>
      </c>
      <c r="I22" s="69" t="s">
        <v>467</v>
      </c>
      <c r="J22" s="69">
        <v>1</v>
      </c>
      <c r="K22" s="69">
        <v>0</v>
      </c>
      <c r="L22" s="325">
        <v>0</v>
      </c>
      <c r="M22" s="69"/>
      <c r="N22" s="325"/>
    </row>
    <row r="23" spans="2:14" ht="27" customHeight="1" thickTop="1" x14ac:dyDescent="0.25">
      <c r="B23" s="315" t="s">
        <v>97</v>
      </c>
      <c r="C23" s="315"/>
      <c r="D23" s="315"/>
      <c r="E23" s="315"/>
      <c r="F23" s="326">
        <f>F18+F4</f>
        <v>150800</v>
      </c>
      <c r="H23" s="315" t="s">
        <v>97</v>
      </c>
      <c r="I23" s="315"/>
      <c r="J23" s="315"/>
      <c r="K23" s="315"/>
      <c r="L23" s="326">
        <f>L4+L18</f>
        <v>150800</v>
      </c>
      <c r="M23" s="83">
        <f>M4+M18</f>
        <v>0</v>
      </c>
      <c r="N23" s="326">
        <f>N4+N18</f>
        <v>120558</v>
      </c>
    </row>
    <row r="25" spans="2:14" ht="30" customHeight="1" x14ac:dyDescent="0.25">
      <c r="B25" s="14"/>
      <c r="C25" s="14"/>
      <c r="D25" s="14"/>
      <c r="E25" s="14"/>
      <c r="F25" s="14"/>
      <c r="H25" s="14"/>
      <c r="I25" s="14"/>
      <c r="J25" s="14"/>
      <c r="K25" s="14"/>
      <c r="L25" s="14"/>
      <c r="M25" s="14"/>
      <c r="N25" s="14"/>
    </row>
    <row r="26" spans="2:14" ht="39.75" customHeight="1" x14ac:dyDescent="0.25">
      <c r="B26" s="239" t="s">
        <v>474</v>
      </c>
      <c r="C26" s="239"/>
      <c r="D26" s="239"/>
      <c r="E26" s="239"/>
      <c r="F26" s="239"/>
      <c r="H26" s="249" t="s">
        <v>476</v>
      </c>
      <c r="I26" s="250"/>
      <c r="J26" s="250"/>
      <c r="K26" s="250"/>
      <c r="L26" s="250"/>
      <c r="M26" s="250"/>
      <c r="N26" s="251"/>
    </row>
    <row r="27" spans="2:14" ht="38.25" x14ac:dyDescent="0.25">
      <c r="B27" s="60" t="s">
        <v>89</v>
      </c>
      <c r="C27" s="60" t="s">
        <v>90</v>
      </c>
      <c r="D27" s="60" t="s">
        <v>91</v>
      </c>
      <c r="E27" s="60" t="s">
        <v>92</v>
      </c>
      <c r="F27" s="60" t="s">
        <v>112</v>
      </c>
      <c r="H27" s="81" t="s">
        <v>89</v>
      </c>
      <c r="I27" s="81" t="s">
        <v>90</v>
      </c>
      <c r="J27" s="81" t="s">
        <v>91</v>
      </c>
      <c r="K27" s="81" t="s">
        <v>92</v>
      </c>
      <c r="L27" s="81" t="s">
        <v>112</v>
      </c>
      <c r="M27" s="81" t="s">
        <v>112</v>
      </c>
      <c r="N27" s="81" t="s">
        <v>112</v>
      </c>
    </row>
    <row r="28" spans="2:14" ht="27" customHeight="1" x14ac:dyDescent="0.25">
      <c r="B28" s="314" t="s">
        <v>93</v>
      </c>
      <c r="C28" s="314"/>
      <c r="D28" s="314"/>
      <c r="E28" s="314"/>
      <c r="F28" s="322">
        <f>F29+F34+F37+F39</f>
        <v>150800</v>
      </c>
      <c r="H28" s="314" t="s">
        <v>93</v>
      </c>
      <c r="I28" s="314"/>
      <c r="J28" s="314"/>
      <c r="K28" s="314"/>
      <c r="L28" s="322">
        <f>L29+L34+L37+L39</f>
        <v>150800</v>
      </c>
      <c r="M28" s="61"/>
      <c r="N28" s="322">
        <f>N29+N34+N37+N39</f>
        <v>120558</v>
      </c>
    </row>
    <row r="29" spans="2:14" ht="21.75" customHeight="1" x14ac:dyDescent="0.25">
      <c r="B29" s="312" t="s">
        <v>100</v>
      </c>
      <c r="C29" s="313"/>
      <c r="D29" s="313"/>
      <c r="E29" s="313"/>
      <c r="F29" s="323">
        <f>SUM(F31:F33)</f>
        <v>126000</v>
      </c>
      <c r="H29" s="312" t="s">
        <v>100</v>
      </c>
      <c r="I29" s="313"/>
      <c r="J29" s="313"/>
      <c r="K29" s="313"/>
      <c r="L29" s="323">
        <f>SUM(L31:L33)</f>
        <v>126000</v>
      </c>
      <c r="M29" s="60"/>
      <c r="N29" s="323">
        <f>SUM(N31:N33)</f>
        <v>99540</v>
      </c>
    </row>
    <row r="30" spans="2:14" ht="21.75" customHeight="1" x14ac:dyDescent="0.25">
      <c r="B30" s="53" t="str">
        <f>+B6</f>
        <v xml:space="preserve">MEDICO GENERAL </v>
      </c>
      <c r="C30" s="53" t="s">
        <v>94</v>
      </c>
      <c r="D30" s="53">
        <v>1</v>
      </c>
      <c r="E30" s="53">
        <f>+E6</f>
        <v>6500</v>
      </c>
      <c r="F30" s="324">
        <f>+E30*12</f>
        <v>78000</v>
      </c>
      <c r="H30" s="53" t="str">
        <f>+B30</f>
        <v xml:space="preserve">MEDICO GENERAL </v>
      </c>
      <c r="I30" s="53" t="s">
        <v>94</v>
      </c>
      <c r="J30" s="53">
        <v>1</v>
      </c>
      <c r="K30" s="53">
        <v>6500</v>
      </c>
      <c r="L30" s="324">
        <f>+K30*12</f>
        <v>78000</v>
      </c>
      <c r="M30" s="53">
        <v>0.79</v>
      </c>
      <c r="N30" s="324">
        <f>L30*M30</f>
        <v>61620</v>
      </c>
    </row>
    <row r="31" spans="2:14" ht="25.5" customHeight="1" x14ac:dyDescent="0.25">
      <c r="B31" s="53" t="s">
        <v>109</v>
      </c>
      <c r="C31" s="53" t="s">
        <v>94</v>
      </c>
      <c r="D31" s="53">
        <v>1</v>
      </c>
      <c r="E31" s="53">
        <v>3500</v>
      </c>
      <c r="F31" s="324">
        <f>E31*12</f>
        <v>42000</v>
      </c>
      <c r="H31" s="53" t="s">
        <v>109</v>
      </c>
      <c r="I31" s="53" t="s">
        <v>94</v>
      </c>
      <c r="J31" s="53">
        <v>1</v>
      </c>
      <c r="K31" s="53">
        <v>3500</v>
      </c>
      <c r="L31" s="324">
        <f>K31*12*J31</f>
        <v>42000</v>
      </c>
      <c r="M31" s="53">
        <v>0.79</v>
      </c>
      <c r="N31" s="324">
        <f>L31*M31</f>
        <v>33180</v>
      </c>
    </row>
    <row r="32" spans="2:14" ht="25.5" customHeight="1" x14ac:dyDescent="0.25">
      <c r="B32" s="53" t="s">
        <v>110</v>
      </c>
      <c r="C32" s="53" t="s">
        <v>94</v>
      </c>
      <c r="D32" s="53">
        <v>1</v>
      </c>
      <c r="E32" s="53">
        <f>2800</f>
        <v>2800</v>
      </c>
      <c r="F32" s="324">
        <f>E32*12</f>
        <v>33600</v>
      </c>
      <c r="H32" s="53" t="s">
        <v>110</v>
      </c>
      <c r="I32" s="53" t="s">
        <v>94</v>
      </c>
      <c r="J32" s="53">
        <v>1</v>
      </c>
      <c r="K32" s="53">
        <v>2800</v>
      </c>
      <c r="L32" s="324">
        <f>K32*12</f>
        <v>33600</v>
      </c>
      <c r="M32" s="53">
        <v>0.79</v>
      </c>
      <c r="N32" s="324">
        <f>L32*M32</f>
        <v>26544</v>
      </c>
    </row>
    <row r="33" spans="2:14" ht="25.5" customHeight="1" x14ac:dyDescent="0.25">
      <c r="B33" s="53" t="s">
        <v>111</v>
      </c>
      <c r="C33" s="53" t="s">
        <v>94</v>
      </c>
      <c r="D33" s="53">
        <v>2</v>
      </c>
      <c r="E33" s="53">
        <v>2100</v>
      </c>
      <c r="F33" s="324">
        <f>E33*12*D33</f>
        <v>50400</v>
      </c>
      <c r="H33" s="53" t="s">
        <v>111</v>
      </c>
      <c r="I33" s="53" t="s">
        <v>94</v>
      </c>
      <c r="J33" s="53">
        <v>2</v>
      </c>
      <c r="K33" s="53">
        <v>2100</v>
      </c>
      <c r="L33" s="324">
        <f>K33*12*2</f>
        <v>50400</v>
      </c>
      <c r="M33" s="53">
        <v>0.79</v>
      </c>
      <c r="N33" s="324">
        <f>L33*M33</f>
        <v>39816</v>
      </c>
    </row>
    <row r="34" spans="2:14" ht="21.75" customHeight="1" x14ac:dyDescent="0.25">
      <c r="B34" s="312" t="s">
        <v>60</v>
      </c>
      <c r="C34" s="313"/>
      <c r="D34" s="313"/>
      <c r="E34" s="313"/>
      <c r="F34" s="323">
        <f>SUM(F35:F36)</f>
        <v>600</v>
      </c>
      <c r="H34" s="312" t="s">
        <v>60</v>
      </c>
      <c r="I34" s="313"/>
      <c r="J34" s="313"/>
      <c r="K34" s="313"/>
      <c r="L34" s="323">
        <f>SUM(L35:L36)</f>
        <v>600</v>
      </c>
      <c r="M34" s="60"/>
      <c r="N34" s="323">
        <f>SUM(N35:N36)</f>
        <v>508.5</v>
      </c>
    </row>
    <row r="35" spans="2:14" ht="25.5" customHeight="1" x14ac:dyDescent="0.25">
      <c r="B35" s="53" t="s">
        <v>101</v>
      </c>
      <c r="C35" s="53" t="s">
        <v>118</v>
      </c>
      <c r="D35" s="53">
        <v>12</v>
      </c>
      <c r="E35" s="53">
        <v>0</v>
      </c>
      <c r="F35" s="324">
        <f>D35*E35</f>
        <v>0</v>
      </c>
      <c r="H35" s="53" t="s">
        <v>101</v>
      </c>
      <c r="I35" s="53" t="s">
        <v>118</v>
      </c>
      <c r="J35" s="53">
        <v>12</v>
      </c>
      <c r="K35" s="53">
        <v>0</v>
      </c>
      <c r="L35" s="324">
        <f>J35*K35</f>
        <v>0</v>
      </c>
      <c r="M35" s="53">
        <v>0.84750000000000003</v>
      </c>
      <c r="N35" s="324">
        <f>L35*M35</f>
        <v>0</v>
      </c>
    </row>
    <row r="36" spans="2:14" ht="25.5" customHeight="1" x14ac:dyDescent="0.25">
      <c r="B36" s="53" t="s">
        <v>102</v>
      </c>
      <c r="C36" s="53" t="s">
        <v>118</v>
      </c>
      <c r="D36" s="53">
        <v>12</v>
      </c>
      <c r="E36" s="53">
        <v>50</v>
      </c>
      <c r="F36" s="324">
        <f>D36*E36</f>
        <v>600</v>
      </c>
      <c r="H36" s="53" t="s">
        <v>102</v>
      </c>
      <c r="I36" s="53" t="s">
        <v>118</v>
      </c>
      <c r="J36" s="53">
        <v>12</v>
      </c>
      <c r="K36" s="53">
        <v>50</v>
      </c>
      <c r="L36" s="324">
        <f>J36*K36</f>
        <v>600</v>
      </c>
      <c r="M36" s="53">
        <v>0.84750000000000003</v>
      </c>
      <c r="N36" s="324">
        <f>L36*M36</f>
        <v>508.5</v>
      </c>
    </row>
    <row r="37" spans="2:14" ht="21.75" customHeight="1" x14ac:dyDescent="0.25">
      <c r="B37" s="79" t="s">
        <v>103</v>
      </c>
      <c r="C37" s="80"/>
      <c r="D37" s="80"/>
      <c r="E37" s="80"/>
      <c r="F37" s="323">
        <f>F38</f>
        <v>18000</v>
      </c>
      <c r="H37" s="79" t="s">
        <v>103</v>
      </c>
      <c r="I37" s="80"/>
      <c r="J37" s="80"/>
      <c r="K37" s="80"/>
      <c r="L37" s="323">
        <f>L38</f>
        <v>18000</v>
      </c>
      <c r="M37" s="60"/>
      <c r="N37" s="323">
        <f>N38</f>
        <v>15255</v>
      </c>
    </row>
    <row r="38" spans="2:14" ht="25.5" customHeight="1" x14ac:dyDescent="0.25">
      <c r="B38" s="53" t="s">
        <v>95</v>
      </c>
      <c r="C38" s="53" t="s">
        <v>465</v>
      </c>
      <c r="D38" s="53">
        <v>1</v>
      </c>
      <c r="E38" s="53">
        <v>18000</v>
      </c>
      <c r="F38" s="324">
        <f>D38*E38</f>
        <v>18000</v>
      </c>
      <c r="H38" s="53" t="s">
        <v>95</v>
      </c>
      <c r="I38" s="53" t="s">
        <v>466</v>
      </c>
      <c r="J38" s="53">
        <v>1</v>
      </c>
      <c r="K38" s="53">
        <v>18000</v>
      </c>
      <c r="L38" s="324">
        <f>J38*K38</f>
        <v>18000</v>
      </c>
      <c r="M38" s="53">
        <v>0.84750000000000003</v>
      </c>
      <c r="N38" s="324">
        <f>L38*M38</f>
        <v>15255</v>
      </c>
    </row>
    <row r="39" spans="2:14" ht="21.75" customHeight="1" x14ac:dyDescent="0.25">
      <c r="B39" s="79" t="s">
        <v>104</v>
      </c>
      <c r="C39" s="80"/>
      <c r="D39" s="80"/>
      <c r="E39" s="80"/>
      <c r="F39" s="323">
        <f>SUM(F40:F41)</f>
        <v>6200</v>
      </c>
      <c r="H39" s="79" t="s">
        <v>104</v>
      </c>
      <c r="I39" s="80"/>
      <c r="J39" s="80"/>
      <c r="K39" s="80"/>
      <c r="L39" s="323">
        <f>SUM(L40:L41)</f>
        <v>6200</v>
      </c>
      <c r="M39" s="60"/>
      <c r="N39" s="323">
        <f>SUM(N40:N41)</f>
        <v>5254.5</v>
      </c>
    </row>
    <row r="40" spans="2:14" ht="25.5" customHeight="1" x14ac:dyDescent="0.25">
      <c r="B40" s="53" t="s">
        <v>105</v>
      </c>
      <c r="C40" s="53" t="s">
        <v>117</v>
      </c>
      <c r="D40" s="53">
        <v>4</v>
      </c>
      <c r="E40" s="53">
        <v>200</v>
      </c>
      <c r="F40" s="324">
        <f>D40*E40</f>
        <v>800</v>
      </c>
      <c r="H40" s="53" t="s">
        <v>105</v>
      </c>
      <c r="I40" s="53" t="s">
        <v>117</v>
      </c>
      <c r="J40" s="53">
        <v>4</v>
      </c>
      <c r="K40" s="53">
        <v>200</v>
      </c>
      <c r="L40" s="324">
        <f>J40*K40</f>
        <v>800</v>
      </c>
      <c r="M40" s="53">
        <v>0.84750000000000003</v>
      </c>
      <c r="N40" s="324">
        <f>L40*M40</f>
        <v>678</v>
      </c>
    </row>
    <row r="41" spans="2:14" ht="27" customHeight="1" x14ac:dyDescent="0.25">
      <c r="B41" s="53" t="s">
        <v>116</v>
      </c>
      <c r="C41" s="53" t="s">
        <v>118</v>
      </c>
      <c r="D41" s="53">
        <v>1</v>
      </c>
      <c r="E41" s="53">
        <v>450</v>
      </c>
      <c r="F41" s="324">
        <f>E41*12</f>
        <v>5400</v>
      </c>
      <c r="H41" s="53" t="s">
        <v>116</v>
      </c>
      <c r="I41" s="53" t="s">
        <v>118</v>
      </c>
      <c r="J41" s="53">
        <v>1</v>
      </c>
      <c r="K41" s="53">
        <v>450</v>
      </c>
      <c r="L41" s="324">
        <f>K41*12</f>
        <v>5400</v>
      </c>
      <c r="M41" s="53">
        <v>0.84750000000000003</v>
      </c>
      <c r="N41" s="324">
        <f>L41*M41</f>
        <v>4576.5</v>
      </c>
    </row>
    <row r="42" spans="2:14" ht="27" customHeight="1" x14ac:dyDescent="0.25">
      <c r="B42" s="314" t="s">
        <v>96</v>
      </c>
      <c r="C42" s="314"/>
      <c r="D42" s="314"/>
      <c r="E42" s="314"/>
      <c r="F42" s="322">
        <f>F43+F45</f>
        <v>13500</v>
      </c>
      <c r="H42" s="314" t="s">
        <v>96</v>
      </c>
      <c r="I42" s="314"/>
      <c r="J42" s="314"/>
      <c r="K42" s="314"/>
      <c r="L42" s="322">
        <f>L43+L45</f>
        <v>13500</v>
      </c>
      <c r="M42" s="82"/>
      <c r="N42" s="322">
        <f>N43+N45</f>
        <v>11441.25</v>
      </c>
    </row>
    <row r="43" spans="2:14" ht="21.75" customHeight="1" x14ac:dyDescent="0.25">
      <c r="B43" s="312" t="s">
        <v>73</v>
      </c>
      <c r="C43" s="313"/>
      <c r="D43" s="313"/>
      <c r="E43" s="313"/>
      <c r="F43" s="323">
        <f>F44</f>
        <v>5000</v>
      </c>
      <c r="H43" s="312" t="s">
        <v>73</v>
      </c>
      <c r="I43" s="313"/>
      <c r="J43" s="313"/>
      <c r="K43" s="313"/>
      <c r="L43" s="323">
        <f>L44</f>
        <v>5000</v>
      </c>
      <c r="M43" s="60"/>
      <c r="N43" s="323">
        <f>N44</f>
        <v>4237.5</v>
      </c>
    </row>
    <row r="44" spans="2:14" ht="25.5" customHeight="1" x14ac:dyDescent="0.25">
      <c r="B44" s="53" t="s">
        <v>73</v>
      </c>
      <c r="C44" s="53" t="s">
        <v>119</v>
      </c>
      <c r="D44" s="53">
        <v>1</v>
      </c>
      <c r="E44" s="53">
        <v>5000</v>
      </c>
      <c r="F44" s="324">
        <f>+D44*E44</f>
        <v>5000</v>
      </c>
      <c r="H44" s="53" t="s">
        <v>106</v>
      </c>
      <c r="I44" s="53" t="s">
        <v>119</v>
      </c>
      <c r="J44" s="53">
        <v>1</v>
      </c>
      <c r="K44" s="53">
        <v>5000</v>
      </c>
      <c r="L44" s="324">
        <f>+J44*K44</f>
        <v>5000</v>
      </c>
      <c r="M44" s="53">
        <v>0.84750000000000003</v>
      </c>
      <c r="N44" s="324">
        <f>L44*M44</f>
        <v>4237.5</v>
      </c>
    </row>
    <row r="45" spans="2:14" ht="21.75" customHeight="1" x14ac:dyDescent="0.25">
      <c r="B45" s="312" t="s">
        <v>107</v>
      </c>
      <c r="C45" s="313"/>
      <c r="D45" s="313"/>
      <c r="E45" s="313"/>
      <c r="F45" s="323">
        <f>F46</f>
        <v>8500</v>
      </c>
      <c r="H45" s="312" t="s">
        <v>107</v>
      </c>
      <c r="I45" s="313"/>
      <c r="J45" s="313"/>
      <c r="K45" s="313"/>
      <c r="L45" s="323">
        <f>L46</f>
        <v>8500</v>
      </c>
      <c r="M45" s="60"/>
      <c r="N45" s="323">
        <f>N46</f>
        <v>7203.75</v>
      </c>
    </row>
    <row r="46" spans="2:14" ht="25.5" customHeight="1" thickBot="1" x14ac:dyDescent="0.3">
      <c r="B46" s="69" t="s">
        <v>108</v>
      </c>
      <c r="C46" s="69" t="s">
        <v>119</v>
      </c>
      <c r="D46" s="69">
        <v>1</v>
      </c>
      <c r="E46" s="69">
        <v>8500</v>
      </c>
      <c r="F46" s="325">
        <f>+E46</f>
        <v>8500</v>
      </c>
      <c r="H46" s="69" t="s">
        <v>108</v>
      </c>
      <c r="I46" s="69" t="s">
        <v>119</v>
      </c>
      <c r="J46" s="69">
        <v>1</v>
      </c>
      <c r="K46" s="69">
        <v>8500</v>
      </c>
      <c r="L46" s="325">
        <f>+J46*K46</f>
        <v>8500</v>
      </c>
      <c r="M46" s="69">
        <v>0.84750000000000003</v>
      </c>
      <c r="N46" s="325">
        <f>L46*M46</f>
        <v>7203.75</v>
      </c>
    </row>
    <row r="47" spans="2:14" ht="27" customHeight="1" thickTop="1" x14ac:dyDescent="0.25">
      <c r="B47" s="315" t="s">
        <v>97</v>
      </c>
      <c r="C47" s="315"/>
      <c r="D47" s="315"/>
      <c r="E47" s="315"/>
      <c r="F47" s="326">
        <f>F28+F42</f>
        <v>164300</v>
      </c>
      <c r="H47" s="315" t="s">
        <v>97</v>
      </c>
      <c r="I47" s="315"/>
      <c r="J47" s="315"/>
      <c r="K47" s="315"/>
      <c r="L47" s="326">
        <f>L28+L42</f>
        <v>164300</v>
      </c>
      <c r="M47" s="83"/>
      <c r="N47" s="326">
        <f>N28+N42</f>
        <v>131999.25</v>
      </c>
    </row>
    <row r="56" spans="5:15" ht="25.5" x14ac:dyDescent="0.25">
      <c r="E56" s="144" t="s">
        <v>120</v>
      </c>
      <c r="F56" s="144" t="s">
        <v>254</v>
      </c>
      <c r="G56" s="144" t="s">
        <v>255</v>
      </c>
      <c r="H56" s="144" t="s">
        <v>256</v>
      </c>
      <c r="I56" s="144" t="s">
        <v>257</v>
      </c>
      <c r="J56" s="144" t="s">
        <v>258</v>
      </c>
      <c r="K56" s="144" t="s">
        <v>259</v>
      </c>
      <c r="L56" s="144" t="s">
        <v>260</v>
      </c>
      <c r="M56" s="144" t="s">
        <v>261</v>
      </c>
      <c r="N56" s="144" t="s">
        <v>262</v>
      </c>
      <c r="O56" s="144" t="s">
        <v>263</v>
      </c>
    </row>
    <row r="57" spans="5:15" ht="25.5" x14ac:dyDescent="0.25">
      <c r="E57" s="149" t="s">
        <v>264</v>
      </c>
      <c r="F57" s="148"/>
      <c r="G57" s="148"/>
      <c r="H57" s="148"/>
      <c r="I57" s="148"/>
      <c r="J57" s="148"/>
      <c r="K57" s="148"/>
      <c r="L57" s="148"/>
      <c r="M57" s="148"/>
      <c r="N57" s="148"/>
      <c r="O57" s="148"/>
    </row>
    <row r="58" spans="5:15" x14ac:dyDescent="0.25">
      <c r="E58" s="147" t="s">
        <v>265</v>
      </c>
      <c r="F58" s="147">
        <f>+$F$28</f>
        <v>150800</v>
      </c>
      <c r="G58" s="147">
        <f t="shared" ref="G58:O58" si="0">+$F$28</f>
        <v>150800</v>
      </c>
      <c r="H58" s="147">
        <f t="shared" si="0"/>
        <v>150800</v>
      </c>
      <c r="I58" s="147">
        <f t="shared" si="0"/>
        <v>150800</v>
      </c>
      <c r="J58" s="147">
        <f t="shared" si="0"/>
        <v>150800</v>
      </c>
      <c r="K58" s="147">
        <f t="shared" si="0"/>
        <v>150800</v>
      </c>
      <c r="L58" s="147">
        <f t="shared" si="0"/>
        <v>150800</v>
      </c>
      <c r="M58" s="147">
        <f t="shared" si="0"/>
        <v>150800</v>
      </c>
      <c r="N58" s="147">
        <f t="shared" si="0"/>
        <v>150800</v>
      </c>
      <c r="O58" s="147">
        <f t="shared" si="0"/>
        <v>150800</v>
      </c>
    </row>
    <row r="59" spans="5:15" x14ac:dyDescent="0.25">
      <c r="E59" s="147" t="s">
        <v>266</v>
      </c>
      <c r="F59" s="147">
        <f>$F$42</f>
        <v>13500</v>
      </c>
      <c r="G59" s="147">
        <f t="shared" ref="G59:O59" si="1">$F$42</f>
        <v>13500</v>
      </c>
      <c r="H59" s="147">
        <f>$F$42</f>
        <v>13500</v>
      </c>
      <c r="I59" s="147">
        <f t="shared" si="1"/>
        <v>13500</v>
      </c>
      <c r="J59" s="147">
        <f t="shared" si="1"/>
        <v>13500</v>
      </c>
      <c r="K59" s="147">
        <f t="shared" si="1"/>
        <v>13500</v>
      </c>
      <c r="L59" s="147">
        <f t="shared" si="1"/>
        <v>13500</v>
      </c>
      <c r="M59" s="147">
        <f t="shared" si="1"/>
        <v>13500</v>
      </c>
      <c r="N59" s="147">
        <f t="shared" si="1"/>
        <v>13500</v>
      </c>
      <c r="O59" s="147">
        <f t="shared" si="1"/>
        <v>13500</v>
      </c>
    </row>
    <row r="60" spans="5:15" ht="25.5" x14ac:dyDescent="0.25">
      <c r="E60" s="149" t="s">
        <v>267</v>
      </c>
      <c r="F60" s="148"/>
      <c r="G60" s="148"/>
      <c r="H60" s="148"/>
      <c r="I60" s="148"/>
      <c r="J60" s="148"/>
      <c r="K60" s="148"/>
      <c r="L60" s="148"/>
      <c r="M60" s="148"/>
      <c r="N60" s="148"/>
      <c r="O60" s="148"/>
    </row>
    <row r="61" spans="5:15" x14ac:dyDescent="0.25">
      <c r="E61" s="147" t="s">
        <v>265</v>
      </c>
      <c r="F61" s="147">
        <f>$F$4</f>
        <v>150800</v>
      </c>
      <c r="G61" s="147">
        <f t="shared" ref="G61:O61" si="2">$F$4</f>
        <v>150800</v>
      </c>
      <c r="H61" s="147">
        <f t="shared" si="2"/>
        <v>150800</v>
      </c>
      <c r="I61" s="147">
        <f t="shared" si="2"/>
        <v>150800</v>
      </c>
      <c r="J61" s="147">
        <f t="shared" si="2"/>
        <v>150800</v>
      </c>
      <c r="K61" s="147">
        <f t="shared" si="2"/>
        <v>150800</v>
      </c>
      <c r="L61" s="147">
        <f t="shared" si="2"/>
        <v>150800</v>
      </c>
      <c r="M61" s="147">
        <f t="shared" si="2"/>
        <v>150800</v>
      </c>
      <c r="N61" s="147">
        <f t="shared" si="2"/>
        <v>150800</v>
      </c>
      <c r="O61" s="147">
        <f t="shared" si="2"/>
        <v>150800</v>
      </c>
    </row>
    <row r="62" spans="5:15" x14ac:dyDescent="0.25">
      <c r="E62" s="147" t="s">
        <v>266</v>
      </c>
      <c r="F62" s="147">
        <f>$F$18</f>
        <v>0</v>
      </c>
      <c r="G62" s="147">
        <f t="shared" ref="G62:O62" si="3">$F$18</f>
        <v>0</v>
      </c>
      <c r="H62" s="147">
        <f t="shared" si="3"/>
        <v>0</v>
      </c>
      <c r="I62" s="147">
        <f t="shared" si="3"/>
        <v>0</v>
      </c>
      <c r="J62" s="147">
        <f t="shared" si="3"/>
        <v>0</v>
      </c>
      <c r="K62" s="147">
        <f t="shared" si="3"/>
        <v>0</v>
      </c>
      <c r="L62" s="147">
        <f t="shared" si="3"/>
        <v>0</v>
      </c>
      <c r="M62" s="147">
        <f t="shared" si="3"/>
        <v>0</v>
      </c>
      <c r="N62" s="147">
        <f t="shared" si="3"/>
        <v>0</v>
      </c>
      <c r="O62" s="147">
        <f t="shared" si="3"/>
        <v>0</v>
      </c>
    </row>
    <row r="63" spans="5:15" ht="25.5" x14ac:dyDescent="0.25">
      <c r="E63" s="149" t="s">
        <v>268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</row>
    <row r="64" spans="5:15" x14ac:dyDescent="0.25">
      <c r="E64" s="147" t="s">
        <v>265</v>
      </c>
      <c r="F64" s="147">
        <f>+F58-F61</f>
        <v>0</v>
      </c>
      <c r="G64" s="147">
        <f t="shared" ref="G64:O64" si="4">+G58-G61</f>
        <v>0</v>
      </c>
      <c r="H64" s="147">
        <f>+H58-H61</f>
        <v>0</v>
      </c>
      <c r="I64" s="147">
        <f t="shared" si="4"/>
        <v>0</v>
      </c>
      <c r="J64" s="147">
        <f t="shared" si="4"/>
        <v>0</v>
      </c>
      <c r="K64" s="147">
        <f t="shared" si="4"/>
        <v>0</v>
      </c>
      <c r="L64" s="147">
        <f t="shared" si="4"/>
        <v>0</v>
      </c>
      <c r="M64" s="147">
        <f t="shared" si="4"/>
        <v>0</v>
      </c>
      <c r="N64" s="147">
        <f t="shared" si="4"/>
        <v>0</v>
      </c>
      <c r="O64" s="147">
        <f t="shared" si="4"/>
        <v>0</v>
      </c>
    </row>
    <row r="65" spans="5:15" x14ac:dyDescent="0.25">
      <c r="E65" s="147" t="s">
        <v>266</v>
      </c>
      <c r="F65" s="147">
        <f>+F59--F62</f>
        <v>13500</v>
      </c>
      <c r="G65" s="147">
        <f>+G59--G62</f>
        <v>13500</v>
      </c>
      <c r="H65" s="147">
        <f t="shared" ref="H65:O65" si="5">+H59--H62</f>
        <v>13500</v>
      </c>
      <c r="I65" s="147">
        <f t="shared" si="5"/>
        <v>13500</v>
      </c>
      <c r="J65" s="147">
        <f t="shared" si="5"/>
        <v>13500</v>
      </c>
      <c r="K65" s="147">
        <f t="shared" si="5"/>
        <v>13500</v>
      </c>
      <c r="L65" s="147">
        <f t="shared" si="5"/>
        <v>13500</v>
      </c>
      <c r="M65" s="147">
        <f t="shared" si="5"/>
        <v>13500</v>
      </c>
      <c r="N65" s="147">
        <f t="shared" si="5"/>
        <v>13500</v>
      </c>
      <c r="O65" s="147">
        <f t="shared" si="5"/>
        <v>13500</v>
      </c>
    </row>
    <row r="66" spans="5:15" x14ac:dyDescent="0.25">
      <c r="E66" s="149" t="s">
        <v>269</v>
      </c>
      <c r="F66" s="149">
        <f>+F65</f>
        <v>13500</v>
      </c>
      <c r="G66" s="149">
        <f>+G65</f>
        <v>13500</v>
      </c>
      <c r="H66" s="149">
        <f t="shared" ref="H66:O66" si="6">+H65</f>
        <v>13500</v>
      </c>
      <c r="I66" s="149">
        <f t="shared" si="6"/>
        <v>13500</v>
      </c>
      <c r="J66" s="149">
        <f t="shared" si="6"/>
        <v>13500</v>
      </c>
      <c r="K66" s="149">
        <f t="shared" si="6"/>
        <v>13500</v>
      </c>
      <c r="L66" s="149">
        <f t="shared" si="6"/>
        <v>13500</v>
      </c>
      <c r="M66" s="149">
        <f t="shared" si="6"/>
        <v>13500</v>
      </c>
      <c r="N66" s="149">
        <f t="shared" si="6"/>
        <v>13500</v>
      </c>
      <c r="O66" s="149">
        <f t="shared" si="6"/>
        <v>13500</v>
      </c>
    </row>
  </sheetData>
  <mergeCells count="32">
    <mergeCell ref="B2:F2"/>
    <mergeCell ref="B5:E5"/>
    <mergeCell ref="B10:E10"/>
    <mergeCell ref="B19:E19"/>
    <mergeCell ref="B21:E21"/>
    <mergeCell ref="B28:E28"/>
    <mergeCell ref="B26:F26"/>
    <mergeCell ref="B4:E4"/>
    <mergeCell ref="B18:E18"/>
    <mergeCell ref="B23:E23"/>
    <mergeCell ref="H28:K28"/>
    <mergeCell ref="H29:K29"/>
    <mergeCell ref="H2:N2"/>
    <mergeCell ref="H19:K19"/>
    <mergeCell ref="H21:K21"/>
    <mergeCell ref="H23:K23"/>
    <mergeCell ref="H34:K34"/>
    <mergeCell ref="H42:K42"/>
    <mergeCell ref="B47:E47"/>
    <mergeCell ref="H47:K47"/>
    <mergeCell ref="H4:K4"/>
    <mergeCell ref="H5:K5"/>
    <mergeCell ref="H10:K10"/>
    <mergeCell ref="H18:K18"/>
    <mergeCell ref="B29:E29"/>
    <mergeCell ref="H26:N26"/>
    <mergeCell ref="B45:E45"/>
    <mergeCell ref="H43:K43"/>
    <mergeCell ref="H45:K45"/>
    <mergeCell ref="B43:E43"/>
    <mergeCell ref="B34:E34"/>
    <mergeCell ref="B42:E4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9"/>
  <sheetViews>
    <sheetView workbookViewId="0">
      <selection activeCell="B9" sqref="B9"/>
    </sheetView>
  </sheetViews>
  <sheetFormatPr baseColWidth="10" defaultRowHeight="15" x14ac:dyDescent="0.25"/>
  <cols>
    <col min="1" max="1" width="17.5703125" customWidth="1"/>
  </cols>
  <sheetData>
    <row r="1" spans="1:11" ht="15.75" thickBot="1" x14ac:dyDescent="0.3">
      <c r="A1" s="228" t="s">
        <v>124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</row>
    <row r="2" spans="1:11" ht="15.75" thickTop="1" x14ac:dyDescent="0.25">
      <c r="A2" s="87" t="s">
        <v>120</v>
      </c>
      <c r="B2" s="85">
        <v>1</v>
      </c>
      <c r="C2" s="85">
        <v>2</v>
      </c>
      <c r="D2" s="85">
        <v>3</v>
      </c>
      <c r="E2" s="85">
        <v>4</v>
      </c>
      <c r="F2" s="85">
        <v>5</v>
      </c>
      <c r="G2" s="85">
        <v>6</v>
      </c>
      <c r="H2" s="85">
        <v>7</v>
      </c>
      <c r="I2" s="85">
        <v>8</v>
      </c>
      <c r="J2" s="85">
        <v>9</v>
      </c>
      <c r="K2" s="85">
        <v>10</v>
      </c>
    </row>
    <row r="3" spans="1:11" x14ac:dyDescent="0.25">
      <c r="A3" s="86" t="s">
        <v>121</v>
      </c>
      <c r="B3" s="71">
        <v>77960</v>
      </c>
      <c r="C3" s="71">
        <v>77960</v>
      </c>
      <c r="D3" s="71">
        <v>77960</v>
      </c>
      <c r="E3" s="71">
        <v>77960</v>
      </c>
      <c r="F3" s="71">
        <v>77960</v>
      </c>
      <c r="G3" s="71">
        <v>77960</v>
      </c>
      <c r="H3" s="71">
        <v>77960</v>
      </c>
      <c r="I3" s="71">
        <v>77960</v>
      </c>
      <c r="J3" s="71">
        <v>77960</v>
      </c>
      <c r="K3" s="71">
        <v>77960</v>
      </c>
    </row>
    <row r="4" spans="1:11" x14ac:dyDescent="0.25">
      <c r="A4" s="86" t="s">
        <v>122</v>
      </c>
      <c r="B4" s="71">
        <v>4000</v>
      </c>
      <c r="C4" s="71">
        <v>4000</v>
      </c>
      <c r="D4" s="71">
        <v>4000</v>
      </c>
      <c r="E4" s="71">
        <v>4000</v>
      </c>
      <c r="F4" s="71">
        <v>4000</v>
      </c>
      <c r="G4" s="71">
        <v>4000</v>
      </c>
      <c r="H4" s="71">
        <v>4000</v>
      </c>
      <c r="I4" s="71">
        <v>4000</v>
      </c>
      <c r="J4" s="71">
        <v>4000</v>
      </c>
      <c r="K4" s="71">
        <v>4000</v>
      </c>
    </row>
    <row r="5" spans="1:1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15.75" thickBot="1" x14ac:dyDescent="0.3">
      <c r="A6" s="228" t="s">
        <v>123</v>
      </c>
      <c r="B6" s="228"/>
      <c r="C6" s="228"/>
      <c r="D6" s="228"/>
      <c r="E6" s="228"/>
      <c r="F6" s="228"/>
      <c r="G6" s="228"/>
      <c r="H6" s="228"/>
      <c r="I6" s="228"/>
      <c r="J6" s="228"/>
      <c r="K6" s="228"/>
    </row>
    <row r="7" spans="1:11" ht="15.75" thickTop="1" x14ac:dyDescent="0.25">
      <c r="A7" s="87" t="s">
        <v>120</v>
      </c>
      <c r="B7" s="85">
        <v>1</v>
      </c>
      <c r="C7" s="85">
        <v>2</v>
      </c>
      <c r="D7" s="85">
        <v>3</v>
      </c>
      <c r="E7" s="85">
        <v>4</v>
      </c>
      <c r="F7" s="85">
        <v>5</v>
      </c>
      <c r="G7" s="85">
        <v>6</v>
      </c>
      <c r="H7" s="85">
        <v>7</v>
      </c>
      <c r="I7" s="85">
        <v>8</v>
      </c>
      <c r="J7" s="85">
        <v>9</v>
      </c>
      <c r="K7" s="85">
        <v>10</v>
      </c>
    </row>
    <row r="8" spans="1:11" x14ac:dyDescent="0.25">
      <c r="A8" s="86" t="s">
        <v>121</v>
      </c>
      <c r="B8" s="71">
        <v>77960</v>
      </c>
      <c r="C8" s="71">
        <v>77960</v>
      </c>
      <c r="D8" s="71">
        <v>77960</v>
      </c>
      <c r="E8" s="71">
        <v>77960</v>
      </c>
      <c r="F8" s="71">
        <v>77960</v>
      </c>
      <c r="G8" s="71">
        <v>77960</v>
      </c>
      <c r="H8" s="71">
        <v>77960</v>
      </c>
      <c r="I8" s="71">
        <v>77960</v>
      </c>
      <c r="J8" s="71">
        <v>77960</v>
      </c>
      <c r="K8" s="71">
        <v>77960</v>
      </c>
    </row>
    <row r="9" spans="1:11" x14ac:dyDescent="0.25">
      <c r="A9" s="86" t="s">
        <v>122</v>
      </c>
      <c r="B9" s="71">
        <v>0</v>
      </c>
      <c r="C9" s="71">
        <v>0</v>
      </c>
      <c r="D9" s="71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</row>
    <row r="10" spans="1:1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5.75" thickBot="1" x14ac:dyDescent="0.3">
      <c r="A11" s="228" t="s">
        <v>126</v>
      </c>
      <c r="B11" s="228"/>
      <c r="C11" s="228"/>
      <c r="D11" s="228"/>
      <c r="E11" s="228"/>
      <c r="F11" s="228"/>
      <c r="G11" s="228"/>
      <c r="H11" s="228"/>
      <c r="I11" s="228"/>
      <c r="J11" s="228"/>
      <c r="K11" s="228"/>
    </row>
    <row r="12" spans="1:11" ht="15.75" thickTop="1" x14ac:dyDescent="0.25">
      <c r="A12" s="84" t="s">
        <v>120</v>
      </c>
      <c r="B12" s="85">
        <v>1</v>
      </c>
      <c r="C12" s="85">
        <v>2</v>
      </c>
      <c r="D12" s="85">
        <v>3</v>
      </c>
      <c r="E12" s="85">
        <v>4</v>
      </c>
      <c r="F12" s="85">
        <v>5</v>
      </c>
      <c r="G12" s="85">
        <v>6</v>
      </c>
      <c r="H12" s="85">
        <v>7</v>
      </c>
      <c r="I12" s="85">
        <v>8</v>
      </c>
      <c r="J12" s="85">
        <v>9</v>
      </c>
      <c r="K12" s="85">
        <v>10</v>
      </c>
    </row>
    <row r="13" spans="1:11" x14ac:dyDescent="0.25">
      <c r="A13" s="86" t="s">
        <v>121</v>
      </c>
      <c r="B13" s="71">
        <v>69974</v>
      </c>
      <c r="C13" s="71">
        <v>69974</v>
      </c>
      <c r="D13" s="71">
        <v>69974</v>
      </c>
      <c r="E13" s="71">
        <v>69974</v>
      </c>
      <c r="F13" s="71">
        <v>69974</v>
      </c>
      <c r="G13" s="71">
        <v>69974</v>
      </c>
      <c r="H13" s="71">
        <v>69974</v>
      </c>
      <c r="I13" s="71">
        <v>69974</v>
      </c>
      <c r="J13" s="71">
        <v>69974</v>
      </c>
      <c r="K13" s="71">
        <v>69974</v>
      </c>
    </row>
    <row r="14" spans="1:11" x14ac:dyDescent="0.25">
      <c r="A14" s="86" t="s">
        <v>122</v>
      </c>
      <c r="B14" s="71">
        <v>3640</v>
      </c>
      <c r="C14" s="71">
        <v>3640</v>
      </c>
      <c r="D14" s="71">
        <v>3640</v>
      </c>
      <c r="E14" s="71">
        <v>3640</v>
      </c>
      <c r="F14" s="71">
        <v>3640</v>
      </c>
      <c r="G14" s="71">
        <v>3640</v>
      </c>
      <c r="H14" s="71">
        <v>3640</v>
      </c>
      <c r="I14" s="71">
        <v>3640</v>
      </c>
      <c r="J14" s="71">
        <v>3640</v>
      </c>
      <c r="K14" s="71">
        <v>3640</v>
      </c>
    </row>
    <row r="15" spans="1:1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15.75" thickBot="1" x14ac:dyDescent="0.3">
      <c r="A16" s="228" t="s">
        <v>125</v>
      </c>
      <c r="B16" s="228"/>
      <c r="C16" s="228"/>
      <c r="D16" s="228"/>
      <c r="E16" s="228"/>
      <c r="F16" s="228"/>
      <c r="G16" s="228"/>
      <c r="H16" s="228"/>
      <c r="I16" s="228"/>
      <c r="J16" s="228"/>
      <c r="K16" s="228"/>
    </row>
    <row r="17" spans="1:11" ht="15.75" thickTop="1" x14ac:dyDescent="0.25">
      <c r="A17" s="84" t="s">
        <v>120</v>
      </c>
      <c r="B17" s="85">
        <v>1</v>
      </c>
      <c r="C17" s="85">
        <v>2</v>
      </c>
      <c r="D17" s="85">
        <v>3</v>
      </c>
      <c r="E17" s="85">
        <v>4</v>
      </c>
      <c r="F17" s="85">
        <v>5</v>
      </c>
      <c r="G17" s="85">
        <v>6</v>
      </c>
      <c r="H17" s="85">
        <v>7</v>
      </c>
      <c r="I17" s="85">
        <v>8</v>
      </c>
      <c r="J17" s="85">
        <v>9</v>
      </c>
      <c r="K17" s="85">
        <v>10</v>
      </c>
    </row>
    <row r="18" spans="1:11" x14ac:dyDescent="0.25">
      <c r="A18" s="86" t="s">
        <v>121</v>
      </c>
      <c r="B18" s="71">
        <v>69974</v>
      </c>
      <c r="C18" s="71">
        <v>69974</v>
      </c>
      <c r="D18" s="71">
        <v>69974</v>
      </c>
      <c r="E18" s="71">
        <v>69974</v>
      </c>
      <c r="F18" s="71">
        <v>69974</v>
      </c>
      <c r="G18" s="71">
        <v>69974</v>
      </c>
      <c r="H18" s="71">
        <v>69974</v>
      </c>
      <c r="I18" s="71">
        <v>69974</v>
      </c>
      <c r="J18" s="71">
        <v>69974</v>
      </c>
      <c r="K18" s="71">
        <v>69974</v>
      </c>
    </row>
    <row r="19" spans="1:11" x14ac:dyDescent="0.25">
      <c r="A19" s="86" t="s">
        <v>122</v>
      </c>
      <c r="B19" s="71">
        <v>0</v>
      </c>
      <c r="C19" s="71">
        <v>0</v>
      </c>
      <c r="D19" s="71">
        <v>0</v>
      </c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</row>
  </sheetData>
  <mergeCells count="4">
    <mergeCell ref="A1:K1"/>
    <mergeCell ref="A6:K6"/>
    <mergeCell ref="A11:K11"/>
    <mergeCell ref="A16:K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0"/>
  <sheetViews>
    <sheetView topLeftCell="A24" workbookViewId="0">
      <selection activeCell="E49" sqref="E49"/>
    </sheetView>
  </sheetViews>
  <sheetFormatPr baseColWidth="10" defaultRowHeight="15" x14ac:dyDescent="0.25"/>
  <cols>
    <col min="1" max="1" width="50.140625" customWidth="1"/>
    <col min="2" max="2" width="15.140625" customWidth="1"/>
    <col min="3" max="3" width="12.5703125" customWidth="1"/>
    <col min="4" max="4" width="14.42578125" bestFit="1" customWidth="1"/>
    <col min="5" max="12" width="12.85546875" bestFit="1" customWidth="1"/>
  </cols>
  <sheetData>
    <row r="1" spans="1:12" x14ac:dyDescent="0.25">
      <c r="B1">
        <f>+'COSTOS A PRECIOS SOCIALES'!F144</f>
        <v>23507333.829229806</v>
      </c>
    </row>
    <row r="3" spans="1:12" ht="25.5" customHeight="1" thickBot="1" x14ac:dyDescent="0.3">
      <c r="A3" s="88" t="s">
        <v>98</v>
      </c>
      <c r="B3" s="88">
        <v>0</v>
      </c>
      <c r="C3" s="88">
        <v>1</v>
      </c>
      <c r="D3" s="88">
        <v>2</v>
      </c>
      <c r="E3" s="88">
        <v>3</v>
      </c>
      <c r="F3" s="88">
        <v>4</v>
      </c>
      <c r="G3" s="88">
        <v>5</v>
      </c>
      <c r="H3" s="88">
        <v>6</v>
      </c>
      <c r="I3" s="88">
        <v>7</v>
      </c>
      <c r="J3" s="89">
        <v>8</v>
      </c>
      <c r="K3" s="89">
        <v>9</v>
      </c>
      <c r="L3" s="88">
        <v>10</v>
      </c>
    </row>
    <row r="4" spans="1:12" ht="18.75" customHeight="1" thickTop="1" x14ac:dyDescent="0.25">
      <c r="A4" s="328" t="s">
        <v>127</v>
      </c>
      <c r="B4" s="329">
        <f t="shared" ref="B4:L4" si="0">SUM(B5+B36)</f>
        <v>23507333.829229806</v>
      </c>
      <c r="C4" s="329">
        <f t="shared" si="0"/>
        <v>131999.25</v>
      </c>
      <c r="D4" s="329">
        <f t="shared" si="0"/>
        <v>131999.25</v>
      </c>
      <c r="E4" s="329">
        <f t="shared" si="0"/>
        <v>131999.25</v>
      </c>
      <c r="F4" s="329">
        <f t="shared" si="0"/>
        <v>131999.25</v>
      </c>
      <c r="G4" s="329">
        <f t="shared" si="0"/>
        <v>131999.25</v>
      </c>
      <c r="H4" s="329">
        <f t="shared" si="0"/>
        <v>131999.25</v>
      </c>
      <c r="I4" s="329">
        <f t="shared" si="0"/>
        <v>131999.25</v>
      </c>
      <c r="J4" s="329">
        <f t="shared" si="0"/>
        <v>131999.25</v>
      </c>
      <c r="K4" s="329">
        <f t="shared" si="0"/>
        <v>131999.25</v>
      </c>
      <c r="L4" s="329">
        <f t="shared" si="0"/>
        <v>131999.25</v>
      </c>
    </row>
    <row r="5" spans="1:12" x14ac:dyDescent="0.25">
      <c r="A5" s="330" t="s">
        <v>129</v>
      </c>
      <c r="B5" s="331">
        <f>+SUM(B6:B35)</f>
        <v>23507333.829229806</v>
      </c>
      <c r="C5" s="331">
        <v>0</v>
      </c>
      <c r="D5" s="331">
        <v>0</v>
      </c>
      <c r="E5" s="331">
        <v>0</v>
      </c>
      <c r="F5" s="331">
        <v>0</v>
      </c>
      <c r="G5" s="331">
        <v>0</v>
      </c>
      <c r="H5" s="331">
        <v>0</v>
      </c>
      <c r="I5" s="331">
        <v>0</v>
      </c>
      <c r="J5" s="331">
        <v>0</v>
      </c>
      <c r="K5" s="331">
        <v>0</v>
      </c>
      <c r="L5" s="331"/>
    </row>
    <row r="6" spans="1:12" x14ac:dyDescent="0.25">
      <c r="A6" s="338" t="str">
        <f>+'COSTOS A PRECIOS MERCADO'!B5</f>
        <v xml:space="preserve">CONSTRUCCION SALA DE PROCEDIMIENTOS AMBULATORIOS </v>
      </c>
      <c r="B6" s="333">
        <f>+'COSTOS A PRECIOS SOCIALES'!F4</f>
        <v>178543.47460115381</v>
      </c>
      <c r="C6" s="334"/>
      <c r="D6" s="334"/>
      <c r="E6" s="334"/>
      <c r="F6" s="334"/>
      <c r="G6" s="334"/>
      <c r="H6" s="334"/>
      <c r="I6" s="334"/>
      <c r="J6" s="335"/>
      <c r="K6" s="335"/>
      <c r="L6" s="335"/>
    </row>
    <row r="7" spans="1:12" x14ac:dyDescent="0.25">
      <c r="A7" s="338" t="str">
        <f>+'COSTOS A PRECIOS MERCADO'!B6</f>
        <v>CONSTRUCCION DE CONSULTORIO CRED</v>
      </c>
      <c r="B7" s="333">
        <f>+'COSTOS A PRECIOS SOCIALES'!F9</f>
        <v>170211.44578643329</v>
      </c>
      <c r="C7" s="334"/>
      <c r="D7" s="334"/>
      <c r="E7" s="334"/>
      <c r="F7" s="334"/>
      <c r="G7" s="334"/>
      <c r="H7" s="334"/>
      <c r="I7" s="334"/>
      <c r="J7" s="335"/>
      <c r="K7" s="335"/>
      <c r="L7" s="335"/>
    </row>
    <row r="8" spans="1:12" x14ac:dyDescent="0.25">
      <c r="A8" s="338" t="str">
        <f>+'COSTOS A PRECIOS MERCADO'!B7</f>
        <v>CONSTRUCCION DE SALA DE INMUNIZACIONES</v>
      </c>
      <c r="B8" s="333">
        <f>+'COSTOS A PRECIOS SOCIALES'!F14</f>
        <v>192727.76175002326</v>
      </c>
      <c r="C8" s="334"/>
      <c r="D8" s="334"/>
      <c r="E8" s="334"/>
      <c r="F8" s="334"/>
      <c r="G8" s="334"/>
      <c r="H8" s="334"/>
      <c r="I8" s="334"/>
      <c r="J8" s="335"/>
      <c r="K8" s="335"/>
      <c r="L8" s="335"/>
    </row>
    <row r="9" spans="1:12" ht="26.25" x14ac:dyDescent="0.25">
      <c r="A9" s="338" t="str">
        <f>+'COSTOS A PRECIOS MERCADO'!B8</f>
        <v>CONSTRUCCION DE AMBIENTE DE  ACOMPAÑAMIENTO Y/O CONSEJERIA</v>
      </c>
      <c r="B9" s="333">
        <f>+'COSTOS A PRECIOS SOCIALES'!F19</f>
        <v>430488.15542722639</v>
      </c>
      <c r="C9" s="334"/>
      <c r="D9" s="334"/>
      <c r="E9" s="334"/>
      <c r="F9" s="334"/>
      <c r="G9" s="334"/>
      <c r="H9" s="334"/>
      <c r="I9" s="334"/>
      <c r="J9" s="335"/>
      <c r="K9" s="335"/>
      <c r="L9" s="335"/>
    </row>
    <row r="10" spans="1:12" x14ac:dyDescent="0.25">
      <c r="A10" s="338" t="str">
        <f>+'COSTOS A PRECIOS MERCADO'!B9</f>
        <v xml:space="preserve">CONSTRUCCION DE CONSULTORIO </v>
      </c>
      <c r="B10" s="333">
        <f>+'COSTOS A PRECIOS SOCIALES'!F24</f>
        <v>975740.08869530517</v>
      </c>
      <c r="C10" s="334"/>
      <c r="D10" s="334"/>
      <c r="E10" s="334"/>
      <c r="F10" s="334"/>
      <c r="G10" s="334"/>
      <c r="H10" s="334"/>
      <c r="I10" s="334"/>
      <c r="J10" s="335"/>
      <c r="K10" s="335"/>
      <c r="L10" s="335"/>
    </row>
    <row r="11" spans="1:12" x14ac:dyDescent="0.25">
      <c r="A11" s="338" t="str">
        <f>+'COSTOS A PRECIOS MERCADO'!B10</f>
        <v>CONTRUCCION AMBIENTE COMPLEMENTARIO</v>
      </c>
      <c r="B11" s="333">
        <f>+'COSTOS A PRECIOS SOCIALES'!F29</f>
        <v>2560710.1890574372</v>
      </c>
      <c r="C11" s="334"/>
      <c r="D11" s="334"/>
      <c r="E11" s="334"/>
      <c r="F11" s="334"/>
      <c r="G11" s="334"/>
      <c r="H11" s="334"/>
      <c r="I11" s="334"/>
      <c r="J11" s="335"/>
      <c r="K11" s="335"/>
      <c r="L11" s="335"/>
    </row>
    <row r="12" spans="1:12" x14ac:dyDescent="0.25">
      <c r="A12" s="338" t="str">
        <f>+'COSTOS A PRECIOS MERCADO'!B11</f>
        <v xml:space="preserve">CONSTRUCCION DE LABORATORIO GENERAL </v>
      </c>
      <c r="B12" s="333">
        <f>+'COSTOS A PRECIOS SOCIALES'!F34</f>
        <v>2061185.2234510977</v>
      </c>
      <c r="C12" s="334"/>
      <c r="D12" s="334"/>
      <c r="E12" s="334"/>
      <c r="F12" s="334"/>
      <c r="G12" s="334"/>
      <c r="H12" s="334"/>
      <c r="I12" s="334"/>
      <c r="J12" s="335"/>
      <c r="K12" s="335"/>
      <c r="L12" s="335"/>
    </row>
    <row r="13" spans="1:12" x14ac:dyDescent="0.25">
      <c r="A13" s="338" t="str">
        <f>+'COSTOS A PRECIOS MERCADO'!B12</f>
        <v xml:space="preserve">CONSTRUCCION AMBIENTE DE DISPENSACION Y EXPENDIO </v>
      </c>
      <c r="B13" s="333">
        <f>+'COSTOS A PRECIOS SOCIALES'!F39</f>
        <v>387340.1490652808</v>
      </c>
      <c r="C13" s="334"/>
      <c r="D13" s="334"/>
      <c r="E13" s="334"/>
      <c r="F13" s="334"/>
      <c r="G13" s="334"/>
      <c r="H13" s="334"/>
      <c r="I13" s="334"/>
      <c r="J13" s="335"/>
      <c r="K13" s="335"/>
      <c r="L13" s="335"/>
    </row>
    <row r="14" spans="1:12" x14ac:dyDescent="0.25">
      <c r="A14" s="338" t="str">
        <f>+'COSTOS A PRECIOS MERCADO'!B13</f>
        <v xml:space="preserve">CONSTRUCCION DE TOPICO DE URGENCIAS Y EMERGENCIAS </v>
      </c>
      <c r="B14" s="333">
        <f>+'COSTOS A PRECIOS SOCIALES'!F44</f>
        <v>334273.06078104902</v>
      </c>
      <c r="C14" s="334"/>
      <c r="D14" s="334"/>
      <c r="E14" s="334"/>
      <c r="F14" s="334"/>
      <c r="G14" s="334"/>
      <c r="H14" s="334"/>
      <c r="I14" s="334"/>
      <c r="J14" s="335"/>
      <c r="K14" s="335"/>
      <c r="L14" s="335"/>
    </row>
    <row r="15" spans="1:12" x14ac:dyDescent="0.25">
      <c r="A15" s="338" t="str">
        <f>+'COSTOS A PRECIOS MERCADO'!B14</f>
        <v xml:space="preserve">CONSTRUCCION SALA DE EMERGENCIA </v>
      </c>
      <c r="B15" s="333">
        <f>+'COSTOS A PRECIOS SOCIALES'!F49</f>
        <v>297572.45766858966</v>
      </c>
      <c r="C15" s="334"/>
      <c r="D15" s="334"/>
      <c r="E15" s="334"/>
      <c r="F15" s="334"/>
      <c r="G15" s="334"/>
      <c r="H15" s="334"/>
      <c r="I15" s="334"/>
      <c r="J15" s="335"/>
      <c r="K15" s="335"/>
      <c r="L15" s="335"/>
    </row>
    <row r="16" spans="1:12" x14ac:dyDescent="0.25">
      <c r="A16" s="338" t="str">
        <f>+'COSTOS A PRECIOS MERCADO'!B15</f>
        <v>CONSTRUCCION DE SALA DE RADIOGRAFIA</v>
      </c>
      <c r="B16" s="333">
        <f>+'COSTOS A PRECIOS SOCIALES'!F54</f>
        <v>250556.00935695251</v>
      </c>
      <c r="C16" s="334"/>
      <c r="D16" s="334"/>
      <c r="E16" s="334"/>
      <c r="F16" s="334"/>
      <c r="G16" s="334"/>
      <c r="H16" s="334"/>
      <c r="I16" s="334"/>
      <c r="J16" s="335"/>
      <c r="K16" s="335"/>
      <c r="L16" s="335"/>
    </row>
    <row r="17" spans="1:12" x14ac:dyDescent="0.25">
      <c r="A17" s="338" t="str">
        <f>+'COSTOS A PRECIOS MERCADO'!B16</f>
        <v>CONSTRUCCION DE SALA DE ECOGRAFIA</v>
      </c>
      <c r="B17" s="333">
        <f>+'COSTOS A PRECIOS SOCIALES'!F59</f>
        <v>245596.46839580938</v>
      </c>
      <c r="C17" s="334"/>
      <c r="D17" s="334"/>
      <c r="E17" s="334"/>
      <c r="F17" s="334"/>
      <c r="G17" s="334"/>
      <c r="H17" s="334"/>
      <c r="I17" s="334"/>
      <c r="J17" s="335"/>
      <c r="K17" s="335"/>
      <c r="L17" s="335"/>
    </row>
    <row r="18" spans="1:12" x14ac:dyDescent="0.25">
      <c r="A18" s="338" t="str">
        <f>+'COSTOS A PRECIOS MERCADO'!B17</f>
        <v>CONSTRUCCION DE AREA DE DESINFECCION</v>
      </c>
      <c r="B18" s="333">
        <f>+'COSTOS A PRECIOS SOCIALES'!F64</f>
        <v>477207.031281195</v>
      </c>
      <c r="C18" s="334"/>
      <c r="D18" s="334"/>
      <c r="E18" s="334"/>
      <c r="F18" s="334"/>
      <c r="G18" s="334"/>
      <c r="H18" s="334"/>
      <c r="I18" s="334"/>
      <c r="J18" s="335"/>
      <c r="K18" s="335"/>
      <c r="L18" s="335"/>
    </row>
    <row r="19" spans="1:12" x14ac:dyDescent="0.25">
      <c r="A19" s="338" t="str">
        <f>+'COSTOS A PRECIOS MERCADO'!B18</f>
        <v xml:space="preserve">CONSTRUCCION DE AREA DE SERVICIOS COMPLEMENTARIOS </v>
      </c>
      <c r="B19" s="333">
        <f>+'COSTOS A PRECIOS SOCIALES'!F69</f>
        <v>737186.16846431943</v>
      </c>
      <c r="C19" s="334"/>
      <c r="D19" s="334"/>
      <c r="E19" s="334"/>
      <c r="F19" s="334"/>
      <c r="G19" s="334"/>
      <c r="H19" s="334"/>
      <c r="I19" s="334"/>
      <c r="J19" s="335"/>
      <c r="K19" s="335"/>
      <c r="L19" s="335"/>
    </row>
    <row r="20" spans="1:12" x14ac:dyDescent="0.25">
      <c r="A20" s="338" t="str">
        <f>+'COSTOS A PRECIOS MERCADO'!B19</f>
        <v xml:space="preserve">CONSTRUCCION DE AMBIENTE ADMINISTRATIVO </v>
      </c>
      <c r="B20" s="333">
        <f>+'COSTOS A PRECIOS SOCIALES'!F74</f>
        <v>2633516.2503670179</v>
      </c>
      <c r="C20" s="334"/>
      <c r="D20" s="334"/>
      <c r="E20" s="334"/>
      <c r="F20" s="334"/>
      <c r="G20" s="334"/>
      <c r="H20" s="334"/>
      <c r="I20" s="334"/>
      <c r="J20" s="335"/>
      <c r="K20" s="335"/>
      <c r="L20" s="335"/>
    </row>
    <row r="21" spans="1:12" x14ac:dyDescent="0.25">
      <c r="A21" s="338" t="str">
        <f>+'COSTOS A PRECIOS MERCADO'!B20</f>
        <v>CONSTRUCCION DE DEPOSITO VEHICULAR</v>
      </c>
      <c r="B21" s="333">
        <f>+'COSTOS A PRECIOS SOCIALES'!F79</f>
        <v>1351871.6751884026</v>
      </c>
      <c r="C21" s="334"/>
      <c r="D21" s="334"/>
      <c r="E21" s="334"/>
      <c r="F21" s="334"/>
      <c r="G21" s="334"/>
      <c r="H21" s="334"/>
      <c r="I21" s="334"/>
      <c r="J21" s="335"/>
      <c r="K21" s="335"/>
      <c r="L21" s="335"/>
    </row>
    <row r="22" spans="1:12" x14ac:dyDescent="0.25">
      <c r="A22" s="338" t="str">
        <f>+'COSTOS A PRECIOS MERCADO'!B21</f>
        <v>CONSTRUCCION DE CASA DE FUERZA</v>
      </c>
      <c r="B22" s="333">
        <f>+'COSTOS A PRECIOS SOCIALES'!F84</f>
        <v>1387679.5609278562</v>
      </c>
      <c r="C22" s="334"/>
      <c r="D22" s="334"/>
      <c r="E22" s="334"/>
      <c r="F22" s="334"/>
      <c r="G22" s="334"/>
      <c r="H22" s="334"/>
      <c r="I22" s="334"/>
      <c r="J22" s="335"/>
      <c r="K22" s="335"/>
      <c r="L22" s="335"/>
    </row>
    <row r="23" spans="1:12" x14ac:dyDescent="0.25">
      <c r="A23" s="338" t="str">
        <f>+'COSTOS A PRECIOS MERCADO'!B22</f>
        <v xml:space="preserve">CONSTRUCCION DE CADENA DE FRIO </v>
      </c>
      <c r="B23" s="333">
        <f>+'COSTOS A PRECIOS SOCIALES'!F89</f>
        <v>192826.95256924609</v>
      </c>
      <c r="C23" s="334"/>
      <c r="D23" s="334"/>
      <c r="E23" s="334"/>
      <c r="F23" s="334"/>
      <c r="G23" s="334"/>
      <c r="H23" s="334"/>
      <c r="I23" s="334"/>
      <c r="J23" s="335"/>
      <c r="K23" s="335"/>
      <c r="L23" s="335"/>
    </row>
    <row r="24" spans="1:12" x14ac:dyDescent="0.25">
      <c r="A24" s="338" t="str">
        <f>+'COSTOS A PRECIOS MERCADO'!B23</f>
        <v>CONSTRUCCION DE CENTRAL DE GASES</v>
      </c>
      <c r="B24" s="333">
        <f>+'COSTOS A PRECIOS SOCIALES'!F94</f>
        <v>133709.22431241965</v>
      </c>
      <c r="C24" s="334"/>
      <c r="D24" s="334"/>
      <c r="E24" s="334"/>
      <c r="F24" s="334"/>
      <c r="G24" s="334"/>
      <c r="H24" s="334"/>
      <c r="I24" s="334"/>
      <c r="J24" s="335"/>
      <c r="K24" s="335"/>
      <c r="L24" s="335"/>
    </row>
    <row r="25" spans="1:12" x14ac:dyDescent="0.25">
      <c r="A25" s="338" t="str">
        <f>+'COSTOS A PRECIOS MERCADO'!B24</f>
        <v>CONSTRUCCION DE ALMACEN</v>
      </c>
      <c r="B25" s="333">
        <f>+'COSTOS A PRECIOS SOCIALES'!F99</f>
        <v>238057.96613487171</v>
      </c>
      <c r="C25" s="334"/>
      <c r="D25" s="334"/>
      <c r="E25" s="334"/>
      <c r="F25" s="334"/>
      <c r="G25" s="334"/>
      <c r="H25" s="334"/>
      <c r="I25" s="334"/>
      <c r="J25" s="335"/>
      <c r="K25" s="335"/>
      <c r="L25" s="335"/>
    </row>
    <row r="26" spans="1:12" x14ac:dyDescent="0.25">
      <c r="A26" s="338" t="str">
        <f>+'COSTOS A PRECIOS MERCADO'!B25</f>
        <v>CONSTRUCCION DE AREA DE MANTENIMIENTO</v>
      </c>
      <c r="B26" s="333">
        <f>+'COSTOS A PRECIOS SOCIALES'!F104</f>
        <v>102364.92543799484</v>
      </c>
      <c r="C26" s="334"/>
      <c r="D26" s="334"/>
      <c r="E26" s="334"/>
      <c r="F26" s="334"/>
      <c r="G26" s="334"/>
      <c r="H26" s="334"/>
      <c r="I26" s="334"/>
      <c r="J26" s="335"/>
      <c r="K26" s="335"/>
      <c r="L26" s="335"/>
    </row>
    <row r="27" spans="1:12" x14ac:dyDescent="0.25">
      <c r="A27" s="338" t="str">
        <f>+'COSTOS A PRECIOS MERCADO'!B26</f>
        <v xml:space="preserve">CONSTRUCCION DE DEPOSITO DE RESIDUOS SOLIDOS </v>
      </c>
      <c r="B27" s="333">
        <f>+'COSTOS A PRECIOS SOCIALES'!F109</f>
        <v>156919.8760105696</v>
      </c>
      <c r="C27" s="334"/>
      <c r="D27" s="334"/>
      <c r="E27" s="334"/>
      <c r="F27" s="334"/>
      <c r="G27" s="334"/>
      <c r="H27" s="334"/>
      <c r="I27" s="334"/>
      <c r="J27" s="335"/>
      <c r="K27" s="335"/>
      <c r="L27" s="335"/>
    </row>
    <row r="28" spans="1:12" x14ac:dyDescent="0.25">
      <c r="A28" s="338" t="str">
        <f>+'COSTOS A PRECIOS MERCADO'!B27</f>
        <v>CONSTRUCCION AMBIENTE DE RESIDENCIA</v>
      </c>
      <c r="B28" s="333">
        <f>+'COSTOS A PRECIOS SOCIALES'!F114</f>
        <v>814951.77073504427</v>
      </c>
      <c r="C28" s="334"/>
      <c r="D28" s="334"/>
      <c r="E28" s="334"/>
      <c r="F28" s="334"/>
      <c r="G28" s="334"/>
      <c r="H28" s="334"/>
      <c r="I28" s="334"/>
      <c r="J28" s="335"/>
      <c r="K28" s="335"/>
      <c r="L28" s="335"/>
    </row>
    <row r="29" spans="1:12" x14ac:dyDescent="0.25">
      <c r="A29" s="338" t="str">
        <f>+'COSTOS A PRECIOS MERCADO'!B28</f>
        <v>CONSTRUCCION DE CENTRTAL DE VIGILANCIA Y SEGURIDAD</v>
      </c>
      <c r="B29" s="333">
        <f>+'COSTOS A PRECIOS SOCIALES'!F119</f>
        <v>145711.31343838607</v>
      </c>
      <c r="C29" s="334"/>
      <c r="D29" s="334"/>
      <c r="E29" s="334"/>
      <c r="F29" s="334"/>
      <c r="G29" s="334"/>
      <c r="H29" s="334"/>
      <c r="I29" s="334"/>
      <c r="J29" s="335"/>
      <c r="K29" s="335"/>
      <c r="L29" s="335"/>
    </row>
    <row r="30" spans="1:12" ht="26.25" x14ac:dyDescent="0.25">
      <c r="A30" s="338" t="str">
        <f>+'COSTOS A PRECIOS MERCADO'!B29</f>
        <v>OTRAS ACCIONES DE INFRAESTRUCTURA (PLAN DE CONTINGENCIA)</v>
      </c>
      <c r="B30" s="333">
        <f>+'COSTOS A PRECIOS SOCIALES'!F125</f>
        <v>785656.50507657509</v>
      </c>
      <c r="C30" s="334"/>
      <c r="D30" s="334"/>
      <c r="E30" s="334"/>
      <c r="F30" s="334"/>
      <c r="G30" s="334"/>
      <c r="H30" s="334"/>
      <c r="I30" s="334"/>
      <c r="J30" s="335"/>
      <c r="K30" s="335"/>
      <c r="L30" s="335"/>
    </row>
    <row r="31" spans="1:12" x14ac:dyDescent="0.25">
      <c r="A31" s="338" t="str">
        <f>+'COSTOS A PRECIOS MERCADO'!B30</f>
        <v>EQUIPAMIENTO DE AMBIENTES COMPLEMENTARIOS</v>
      </c>
      <c r="B31" s="333">
        <f>+'COSTOS A PRECIOS SOCIALES'!F131</f>
        <v>4420649.5671182303</v>
      </c>
      <c r="C31" s="334"/>
      <c r="D31" s="334"/>
      <c r="E31" s="334"/>
      <c r="F31" s="334"/>
      <c r="G31" s="334"/>
      <c r="H31" s="334"/>
      <c r="I31" s="334"/>
      <c r="J31" s="335"/>
      <c r="K31" s="335"/>
      <c r="L31" s="335"/>
    </row>
    <row r="32" spans="1:12" x14ac:dyDescent="0.25">
      <c r="A32" s="338" t="s">
        <v>468</v>
      </c>
      <c r="B32" s="333">
        <f>+'COSTOS A PRECIOS SOCIALES'!F136</f>
        <v>284400</v>
      </c>
      <c r="C32" s="334"/>
      <c r="D32" s="334"/>
      <c r="E32" s="334"/>
      <c r="F32" s="334"/>
      <c r="G32" s="334"/>
      <c r="H32" s="334"/>
      <c r="I32" s="334"/>
      <c r="J32" s="335"/>
      <c r="K32" s="335"/>
      <c r="L32" s="335"/>
    </row>
    <row r="33" spans="1:12" x14ac:dyDescent="0.25">
      <c r="A33" s="338" t="s">
        <v>458</v>
      </c>
      <c r="B33" s="333">
        <f>+'COSTOS A PRECIOS SOCIALES'!F138</f>
        <v>118500</v>
      </c>
      <c r="C33" s="334"/>
      <c r="D33" s="334"/>
      <c r="E33" s="334"/>
      <c r="F33" s="334"/>
      <c r="G33" s="334"/>
      <c r="H33" s="334"/>
      <c r="I33" s="334"/>
      <c r="J33" s="335"/>
      <c r="K33" s="335"/>
      <c r="L33" s="335"/>
    </row>
    <row r="34" spans="1:12" x14ac:dyDescent="0.25">
      <c r="A34" s="338" t="s">
        <v>273</v>
      </c>
      <c r="B34" s="333">
        <f>+'COSTOS A PRECIOS SOCIALES'!F140</f>
        <v>922090.62280000013</v>
      </c>
      <c r="C34" s="334"/>
      <c r="D34" s="334"/>
      <c r="E34" s="334"/>
      <c r="F34" s="334"/>
      <c r="G34" s="334"/>
      <c r="H34" s="334"/>
      <c r="I34" s="334"/>
      <c r="J34" s="335"/>
      <c r="K34" s="335"/>
      <c r="L34" s="335"/>
    </row>
    <row r="35" spans="1:12" x14ac:dyDescent="0.25">
      <c r="A35" s="338" t="s">
        <v>459</v>
      </c>
      <c r="B35" s="333">
        <f>+'COSTOS A PRECIOS SOCIALES'!F143</f>
        <v>519089.93533132027</v>
      </c>
      <c r="C35" s="334"/>
      <c r="D35" s="334"/>
      <c r="E35" s="334"/>
      <c r="F35" s="334"/>
      <c r="G35" s="334"/>
      <c r="H35" s="334"/>
      <c r="I35" s="334"/>
      <c r="J35" s="335"/>
      <c r="K35" s="335"/>
      <c r="L35" s="335"/>
    </row>
    <row r="36" spans="1:12" x14ac:dyDescent="0.25">
      <c r="A36" s="330" t="s">
        <v>99</v>
      </c>
      <c r="B36" s="331">
        <f>SUM(B37:B38)</f>
        <v>0</v>
      </c>
      <c r="C36" s="331">
        <f>SUM(C37:C38)</f>
        <v>131999.25</v>
      </c>
      <c r="D36" s="331">
        <f>SUM(D37:D38)</f>
        <v>131999.25</v>
      </c>
      <c r="E36" s="331">
        <f t="shared" ref="E36:L36" si="1">SUM(E37:E38)</f>
        <v>131999.25</v>
      </c>
      <c r="F36" s="331">
        <f t="shared" si="1"/>
        <v>131999.25</v>
      </c>
      <c r="G36" s="331">
        <f t="shared" si="1"/>
        <v>131999.25</v>
      </c>
      <c r="H36" s="331">
        <f t="shared" si="1"/>
        <v>131999.25</v>
      </c>
      <c r="I36" s="331">
        <f t="shared" si="1"/>
        <v>131999.25</v>
      </c>
      <c r="J36" s="331">
        <f t="shared" si="1"/>
        <v>131999.25</v>
      </c>
      <c r="K36" s="331">
        <f t="shared" si="1"/>
        <v>131999.25</v>
      </c>
      <c r="L36" s="331">
        <f t="shared" si="1"/>
        <v>131999.25</v>
      </c>
    </row>
    <row r="37" spans="1:12" x14ac:dyDescent="0.25">
      <c r="A37" s="332" t="s">
        <v>93</v>
      </c>
      <c r="B37" s="333">
        <v>0</v>
      </c>
      <c r="C37" s="333">
        <f>+'OyM CON PY Y SIN PY'!$N$28</f>
        <v>120558</v>
      </c>
      <c r="D37" s="333">
        <f>+'OyM CON PY Y SIN PY'!$N$28</f>
        <v>120558</v>
      </c>
      <c r="E37" s="333">
        <f>+'OyM CON PY Y SIN PY'!$N$28</f>
        <v>120558</v>
      </c>
      <c r="F37" s="333">
        <f>+'OyM CON PY Y SIN PY'!$N$28</f>
        <v>120558</v>
      </c>
      <c r="G37" s="333">
        <f>+'OyM CON PY Y SIN PY'!$N$28</f>
        <v>120558</v>
      </c>
      <c r="H37" s="333">
        <f>+'OyM CON PY Y SIN PY'!$N$28</f>
        <v>120558</v>
      </c>
      <c r="I37" s="333">
        <f>+'OyM CON PY Y SIN PY'!$N$28</f>
        <v>120558</v>
      </c>
      <c r="J37" s="333">
        <f>+'OyM CON PY Y SIN PY'!$N$28</f>
        <v>120558</v>
      </c>
      <c r="K37" s="333">
        <f>+'OyM CON PY Y SIN PY'!$N$28</f>
        <v>120558</v>
      </c>
      <c r="L37" s="333">
        <f>+'OyM CON PY Y SIN PY'!$N$28</f>
        <v>120558</v>
      </c>
    </row>
    <row r="38" spans="1:12" x14ac:dyDescent="0.25">
      <c r="A38" s="332" t="s">
        <v>96</v>
      </c>
      <c r="B38" s="333">
        <v>0</v>
      </c>
      <c r="C38" s="333">
        <f>+'OyM CON PY Y SIN PY'!$N$42</f>
        <v>11441.25</v>
      </c>
      <c r="D38" s="333">
        <f>+'OyM CON PY Y SIN PY'!$N$42</f>
        <v>11441.25</v>
      </c>
      <c r="E38" s="333">
        <f>+'OyM CON PY Y SIN PY'!$N$42</f>
        <v>11441.25</v>
      </c>
      <c r="F38" s="333">
        <f>+'OyM CON PY Y SIN PY'!$N$42</f>
        <v>11441.25</v>
      </c>
      <c r="G38" s="333">
        <f>+'OyM CON PY Y SIN PY'!$N$42</f>
        <v>11441.25</v>
      </c>
      <c r="H38" s="333">
        <f>+'OyM CON PY Y SIN PY'!$N$42</f>
        <v>11441.25</v>
      </c>
      <c r="I38" s="333">
        <f>+'OyM CON PY Y SIN PY'!$N$42</f>
        <v>11441.25</v>
      </c>
      <c r="J38" s="333">
        <f>+'OyM CON PY Y SIN PY'!$N$42</f>
        <v>11441.25</v>
      </c>
      <c r="K38" s="333">
        <f>+'OyM CON PY Y SIN PY'!$N$42</f>
        <v>11441.25</v>
      </c>
      <c r="L38" s="333">
        <f>+'OyM CON PY Y SIN PY'!$N$42</f>
        <v>11441.25</v>
      </c>
    </row>
    <row r="39" spans="1:12" ht="18.75" customHeight="1" x14ac:dyDescent="0.25">
      <c r="A39" s="336" t="s">
        <v>128</v>
      </c>
      <c r="B39" s="337">
        <f>SUM(B40:B41)</f>
        <v>0</v>
      </c>
      <c r="C39" s="337">
        <f>SUM(C40:C41)</f>
        <v>120558</v>
      </c>
      <c r="D39" s="337">
        <f>SUM(D40:D41)</f>
        <v>120558</v>
      </c>
      <c r="E39" s="337">
        <f t="shared" ref="E39:L39" si="2">SUM(E40:E41)</f>
        <v>120558</v>
      </c>
      <c r="F39" s="337">
        <f t="shared" si="2"/>
        <v>120558</v>
      </c>
      <c r="G39" s="337">
        <f t="shared" si="2"/>
        <v>120558</v>
      </c>
      <c r="H39" s="337">
        <f t="shared" si="2"/>
        <v>120558</v>
      </c>
      <c r="I39" s="337">
        <f t="shared" si="2"/>
        <v>120558</v>
      </c>
      <c r="J39" s="337">
        <f t="shared" si="2"/>
        <v>120558</v>
      </c>
      <c r="K39" s="337">
        <f t="shared" si="2"/>
        <v>120558</v>
      </c>
      <c r="L39" s="337">
        <f t="shared" si="2"/>
        <v>120558</v>
      </c>
    </row>
    <row r="40" spans="1:12" x14ac:dyDescent="0.25">
      <c r="A40" s="332" t="s">
        <v>93</v>
      </c>
      <c r="B40" s="334">
        <v>0</v>
      </c>
      <c r="C40" s="333">
        <f>+'OyM CON PY Y SIN PY'!$N$4</f>
        <v>120558</v>
      </c>
      <c r="D40" s="333">
        <f>+'OyM CON PY Y SIN PY'!$N$4</f>
        <v>120558</v>
      </c>
      <c r="E40" s="333">
        <f>+'OyM CON PY Y SIN PY'!$N$4</f>
        <v>120558</v>
      </c>
      <c r="F40" s="333">
        <f>+'OyM CON PY Y SIN PY'!$N$4</f>
        <v>120558</v>
      </c>
      <c r="G40" s="333">
        <f>+'OyM CON PY Y SIN PY'!$N$4</f>
        <v>120558</v>
      </c>
      <c r="H40" s="333">
        <f>+'OyM CON PY Y SIN PY'!$N$4</f>
        <v>120558</v>
      </c>
      <c r="I40" s="333">
        <f>+'OyM CON PY Y SIN PY'!$N$4</f>
        <v>120558</v>
      </c>
      <c r="J40" s="333">
        <f>+'OyM CON PY Y SIN PY'!$N$4</f>
        <v>120558</v>
      </c>
      <c r="K40" s="333">
        <f>+'OyM CON PY Y SIN PY'!$N$4</f>
        <v>120558</v>
      </c>
      <c r="L40" s="333">
        <f>+'OyM CON PY Y SIN PY'!$N$4</f>
        <v>120558</v>
      </c>
    </row>
    <row r="41" spans="1:12" x14ac:dyDescent="0.25">
      <c r="A41" s="332" t="s">
        <v>96</v>
      </c>
      <c r="B41" s="333">
        <v>0</v>
      </c>
      <c r="C41" s="333">
        <v>0</v>
      </c>
      <c r="D41" s="333">
        <v>0</v>
      </c>
      <c r="E41" s="333">
        <v>0</v>
      </c>
      <c r="F41" s="333">
        <v>0</v>
      </c>
      <c r="G41" s="333">
        <v>0</v>
      </c>
      <c r="H41" s="333">
        <v>0</v>
      </c>
      <c r="I41" s="333">
        <v>0</v>
      </c>
      <c r="J41" s="333">
        <v>0</v>
      </c>
      <c r="K41" s="333">
        <v>0</v>
      </c>
      <c r="L41" s="333">
        <v>0</v>
      </c>
    </row>
    <row r="42" spans="1:12" ht="15.75" customHeight="1" x14ac:dyDescent="0.25">
      <c r="A42" s="336" t="s">
        <v>130</v>
      </c>
      <c r="B42" s="337">
        <f>B39-B4</f>
        <v>-23507333.829229806</v>
      </c>
      <c r="C42" s="337">
        <f t="shared" ref="C42:L42" si="3">C4-C39</f>
        <v>11441.25</v>
      </c>
      <c r="D42" s="337">
        <f t="shared" si="3"/>
        <v>11441.25</v>
      </c>
      <c r="E42" s="337">
        <f t="shared" si="3"/>
        <v>11441.25</v>
      </c>
      <c r="F42" s="337">
        <f t="shared" si="3"/>
        <v>11441.25</v>
      </c>
      <c r="G42" s="337">
        <f t="shared" si="3"/>
        <v>11441.25</v>
      </c>
      <c r="H42" s="337">
        <f t="shared" si="3"/>
        <v>11441.25</v>
      </c>
      <c r="I42" s="337">
        <f t="shared" si="3"/>
        <v>11441.25</v>
      </c>
      <c r="J42" s="337">
        <f t="shared" si="3"/>
        <v>11441.25</v>
      </c>
      <c r="K42" s="337">
        <f t="shared" si="3"/>
        <v>11441.25</v>
      </c>
      <c r="L42" s="337">
        <f t="shared" si="3"/>
        <v>11441.25</v>
      </c>
    </row>
    <row r="44" spans="1:12" ht="26.25" customHeight="1" thickBot="1" x14ac:dyDescent="0.3">
      <c r="B44" s="318" t="s">
        <v>136</v>
      </c>
      <c r="C44" s="318"/>
      <c r="D44" s="318"/>
    </row>
    <row r="45" spans="1:12" ht="21.75" customHeight="1" thickTop="1" x14ac:dyDescent="0.25">
      <c r="B45" s="316" t="s">
        <v>131</v>
      </c>
      <c r="C45" s="317"/>
      <c r="D45" s="341">
        <f>NPV(D46,C42:L42)-B42</f>
        <v>23584105.548035443</v>
      </c>
    </row>
    <row r="46" spans="1:12" ht="21.75" customHeight="1" x14ac:dyDescent="0.25">
      <c r="B46" s="319" t="s">
        <v>132</v>
      </c>
      <c r="C46" s="320"/>
      <c r="D46" s="91">
        <v>0.08</v>
      </c>
    </row>
    <row r="47" spans="1:12" ht="21.75" customHeight="1" x14ac:dyDescent="0.25">
      <c r="B47" s="319" t="s">
        <v>133</v>
      </c>
      <c r="C47" s="320"/>
      <c r="D47" s="92">
        <f>+Hoja1!D16</f>
        <v>507</v>
      </c>
    </row>
    <row r="48" spans="1:12" ht="21.75" customHeight="1" x14ac:dyDescent="0.25">
      <c r="B48" s="319" t="s">
        <v>134</v>
      </c>
      <c r="C48" s="320"/>
      <c r="D48" s="92">
        <f>D45/D47</f>
        <v>46516.973467525531</v>
      </c>
    </row>
    <row r="49" spans="2:4" ht="21.75" customHeight="1" x14ac:dyDescent="0.25">
      <c r="B49" s="316" t="s">
        <v>135</v>
      </c>
      <c r="C49" s="317"/>
      <c r="D49" s="90">
        <f>D45*((D46*(1+D46)^10)/((1+D46)^10-1))</f>
        <v>3514727.1912015807</v>
      </c>
    </row>
    <row r="50" spans="2:4" ht="18" customHeight="1" x14ac:dyDescent="0.25"/>
  </sheetData>
  <mergeCells count="6">
    <mergeCell ref="B49:C49"/>
    <mergeCell ref="B44:D44"/>
    <mergeCell ref="B45:C45"/>
    <mergeCell ref="B46:C46"/>
    <mergeCell ref="B47:C47"/>
    <mergeCell ref="B48:C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H.EV</vt:lpstr>
      <vt:lpstr>CART.SERVICIOS</vt:lpstr>
      <vt:lpstr>Hoja1</vt:lpstr>
      <vt:lpstr>Hoja3</vt:lpstr>
      <vt:lpstr>POBLACION DE REFERENCIA</vt:lpstr>
      <vt:lpstr>POBLACION DEMANDANTE POTENCIAL</vt:lpstr>
      <vt:lpstr>POBLACION DEMANDANTE EFECTIVA</vt:lpstr>
      <vt:lpstr>DEMANDA SERV. DE SALUD SN PY</vt:lpstr>
      <vt:lpstr>DEMANDA SERV. DE SALUD CN PY</vt:lpstr>
      <vt:lpstr>OFERTA ACTUAL </vt:lpstr>
      <vt:lpstr>BALANCE OFERTA Y DEMANDA</vt:lpstr>
      <vt:lpstr>COSTOS A PRECIOS MERCADO</vt:lpstr>
      <vt:lpstr>COSTOS A PRECIOS SOCIALES</vt:lpstr>
      <vt:lpstr>OyM CON PY Y SIN PY</vt:lpstr>
      <vt:lpstr>FLUJO OYM</vt:lpstr>
      <vt:lpstr>FLUJO.SOCIAL ALT01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CP_0248</dc:creator>
  <cp:lastModifiedBy>LOBBY 2</cp:lastModifiedBy>
  <dcterms:created xsi:type="dcterms:W3CDTF">2019-08-07T16:30:06Z</dcterms:created>
  <dcterms:modified xsi:type="dcterms:W3CDTF">2024-06-18T08:41:56Z</dcterms:modified>
</cp:coreProperties>
</file>